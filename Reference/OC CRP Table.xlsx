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clpt-my.sharepoint.com/personal/ben_drewery_clpt_co_uk/Documents/"/>
    </mc:Choice>
  </mc:AlternateContent>
  <xr:revisionPtr revIDLastSave="0" documentId="8_{17A2576E-5703-4BE4-AB32-B3353E8B9E20}" xr6:coauthVersionLast="47" xr6:coauthVersionMax="47" xr10:uidLastSave="{00000000-0000-0000-0000-000000000000}"/>
  <bookViews>
    <workbookView xWindow="-110" yWindow="-110" windowWidth="25820" windowHeight="15500" firstSheet="1" activeTab="1" xr2:uid="{4C6BD5E5-74E7-4B55-9A48-524E9ABC417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2" l="1"/>
  <c r="D124" i="2"/>
  <c r="E124" i="2"/>
  <c r="F124" i="2"/>
  <c r="G124" i="2"/>
  <c r="B124" i="2"/>
  <c r="G119" i="2"/>
  <c r="F119" i="2"/>
  <c r="E119" i="2"/>
  <c r="D119" i="2"/>
  <c r="C119" i="2"/>
  <c r="B119" i="2"/>
  <c r="G114" i="2"/>
  <c r="F114" i="2"/>
  <c r="E114" i="2"/>
  <c r="D114" i="2"/>
  <c r="C114" i="2"/>
  <c r="B114" i="2"/>
  <c r="C109" i="2"/>
  <c r="D109" i="2"/>
  <c r="E109" i="2"/>
  <c r="F109" i="2"/>
  <c r="G109" i="2"/>
  <c r="B109" i="2"/>
  <c r="G104" i="2"/>
  <c r="F104" i="2"/>
  <c r="E104" i="2"/>
  <c r="D104" i="2"/>
  <c r="C104" i="2"/>
  <c r="B104" i="2"/>
  <c r="G99" i="2"/>
  <c r="F99" i="2"/>
  <c r="E99" i="2"/>
  <c r="D99" i="2"/>
  <c r="C99" i="2"/>
  <c r="B99" i="2"/>
  <c r="G94" i="2"/>
  <c r="F94" i="2"/>
  <c r="E94" i="2"/>
  <c r="D94" i="2"/>
  <c r="C94" i="2"/>
  <c r="B94" i="2"/>
  <c r="G89" i="2"/>
  <c r="F89" i="2"/>
  <c r="E89" i="2"/>
  <c r="D89" i="2"/>
  <c r="C89" i="2"/>
  <c r="B89" i="2"/>
  <c r="C84" i="2"/>
  <c r="D84" i="2"/>
  <c r="E84" i="2"/>
  <c r="F84" i="2"/>
  <c r="G84" i="2"/>
  <c r="B84" i="2"/>
  <c r="G79" i="2"/>
  <c r="F79" i="2"/>
  <c r="E79" i="2"/>
  <c r="D79" i="2"/>
  <c r="C79" i="2"/>
  <c r="B79" i="2"/>
  <c r="G74" i="2"/>
  <c r="F74" i="2"/>
  <c r="E74" i="2"/>
  <c r="D74" i="2"/>
  <c r="C74" i="2"/>
  <c r="B74" i="2"/>
  <c r="G69" i="2"/>
  <c r="F69" i="2"/>
  <c r="E69" i="2"/>
  <c r="D69" i="2"/>
  <c r="C69" i="2"/>
  <c r="B69" i="2"/>
  <c r="G64" i="2"/>
  <c r="F64" i="2"/>
  <c r="E64" i="2"/>
  <c r="D64" i="2"/>
  <c r="C64" i="2"/>
  <c r="B64" i="2"/>
  <c r="G59" i="2"/>
  <c r="F59" i="2"/>
  <c r="E59" i="2"/>
  <c r="D59" i="2"/>
  <c r="C59" i="2"/>
  <c r="H58" i="2" s="1"/>
  <c r="B59" i="2"/>
  <c r="G54" i="2"/>
  <c r="F54" i="2"/>
  <c r="E54" i="2"/>
  <c r="D54" i="2"/>
  <c r="C54" i="2"/>
  <c r="B54" i="2"/>
  <c r="G49" i="2"/>
  <c r="F49" i="2"/>
  <c r="E49" i="2"/>
  <c r="D49" i="2"/>
  <c r="C49" i="2"/>
  <c r="B49" i="2"/>
  <c r="G44" i="2"/>
  <c r="F44" i="2"/>
  <c r="E44" i="2"/>
  <c r="D44" i="2"/>
  <c r="C44" i="2"/>
  <c r="B44" i="2"/>
  <c r="G39" i="2"/>
  <c r="F39" i="2"/>
  <c r="E39" i="2"/>
  <c r="D39" i="2"/>
  <c r="C39" i="2"/>
  <c r="B39" i="2"/>
  <c r="G34" i="2"/>
  <c r="F34" i="2"/>
  <c r="E34" i="2"/>
  <c r="D34" i="2"/>
  <c r="C34" i="2"/>
  <c r="B34" i="2"/>
  <c r="G29" i="2"/>
  <c r="F29" i="2"/>
  <c r="E29" i="2"/>
  <c r="D29" i="2"/>
  <c r="C29" i="2"/>
  <c r="B29" i="2"/>
  <c r="G24" i="2"/>
  <c r="F24" i="2"/>
  <c r="E24" i="2"/>
  <c r="D24" i="2"/>
  <c r="C24" i="2"/>
  <c r="B24" i="2"/>
  <c r="G19" i="2"/>
  <c r="F19" i="2"/>
  <c r="E19" i="2"/>
  <c r="D19" i="2"/>
  <c r="C19" i="2"/>
  <c r="B19" i="2"/>
  <c r="C4" i="2"/>
  <c r="G14" i="2"/>
  <c r="F14" i="2"/>
  <c r="E14" i="2"/>
  <c r="D14" i="2"/>
  <c r="C14" i="2"/>
  <c r="B14" i="2"/>
  <c r="G9" i="2"/>
  <c r="F9" i="2"/>
  <c r="E9" i="2"/>
  <c r="D9" i="2"/>
  <c r="C9" i="2"/>
  <c r="B9" i="2"/>
  <c r="B4" i="2"/>
  <c r="D4" i="2"/>
  <c r="E4" i="2"/>
  <c r="F4" i="2"/>
  <c r="G4" i="2"/>
  <c r="H108" i="2" l="1"/>
  <c r="H103" i="2"/>
  <c r="H98" i="2"/>
  <c r="H123" i="2"/>
  <c r="H118" i="2"/>
  <c r="H113" i="2"/>
  <c r="H93" i="2"/>
  <c r="H88" i="2"/>
  <c r="H83" i="2"/>
  <c r="H78" i="2"/>
  <c r="H73" i="2"/>
  <c r="H68" i="2"/>
  <c r="H63" i="2"/>
  <c r="H53" i="2"/>
  <c r="H48" i="2"/>
  <c r="H43" i="2"/>
  <c r="H38" i="2"/>
  <c r="H33" i="2"/>
  <c r="H28" i="2"/>
  <c r="H23" i="2"/>
  <c r="H18" i="2"/>
  <c r="H8" i="2"/>
  <c r="H3" i="2"/>
  <c r="H13" i="2"/>
</calcChain>
</file>

<file path=xl/sharedStrings.xml><?xml version="1.0" encoding="utf-8"?>
<sst xmlns="http://schemas.openxmlformats.org/spreadsheetml/2006/main" count="278" uniqueCount="105">
  <si>
    <t>Tier</t>
  </si>
  <si>
    <t>Requirement</t>
  </si>
  <si>
    <t>T1</t>
  </si>
  <si>
    <t>No requirements — everyone welcome</t>
  </si>
  <si>
    <t>T2</t>
  </si>
  <si>
    <r>
      <t>Minimum </t>
    </r>
    <r>
      <rPr>
        <b/>
        <sz val="8"/>
        <color rgb="FFA9E34B"/>
        <rFont val="Segoe UI"/>
        <family val="2"/>
      </rPr>
      <t>70 CPR</t>
    </r>
  </si>
  <si>
    <t>T3</t>
  </si>
  <si>
    <r>
      <t>Minimum </t>
    </r>
    <r>
      <rPr>
        <b/>
        <sz val="8"/>
        <color rgb="FFA9E34B"/>
        <rFont val="Segoe UI"/>
        <family val="2"/>
      </rPr>
      <t xml:space="preserve">70 CPR
</t>
    </r>
    <r>
      <rPr>
        <b/>
        <sz val="8"/>
        <color theme="5"/>
        <rFont val="Segoe UI"/>
        <family val="2"/>
      </rPr>
      <t>Reserve spots for low CRP members
Gaslight the Way - Looter #2
Market Forces - Arsonist</t>
    </r>
  </si>
  <si>
    <t>T4</t>
  </si>
  <si>
    <r>
      <t>Minimum </t>
    </r>
    <r>
      <rPr>
        <b/>
        <sz val="8"/>
        <color rgb="FFA9E34B"/>
        <rFont val="Segoe UI"/>
        <family val="2"/>
      </rPr>
      <t>70 CPR</t>
    </r>
    <r>
      <rPr>
        <sz val="8"/>
        <color rgb="FFDDDDDD"/>
        <rFont val="Segoe UI"/>
        <family val="2"/>
      </rPr>
      <t xml:space="preserve">
</t>
    </r>
    <r>
      <rPr>
        <b/>
        <sz val="8"/>
        <color theme="5"/>
        <rFont val="Segoe UI"/>
        <family val="2"/>
      </rPr>
      <t>Reserve spot for low CRP members
Stage Fright - Muscle #2</t>
    </r>
  </si>
  <si>
    <t>T5</t>
  </si>
  <si>
    <t>T6</t>
  </si>
  <si>
    <t>Excluding bidding war &amp; sneaky git grab: 65 CPR, bidding war Driver at 60 CPR</t>
  </si>
  <si>
    <t>T7</t>
  </si>
  <si>
    <t>Hacker &amp; Bomber, Engineer roles: 65 CPR</t>
  </si>
  <si>
    <t>T8</t>
  </si>
  <si>
    <r>
      <t>Minimum </t>
    </r>
    <r>
      <rPr>
        <b/>
        <sz val="8"/>
        <color rgb="FFA9E34B"/>
        <rFont val="Segoe UI"/>
        <family val="2"/>
      </rPr>
      <t>60 CPR</t>
    </r>
  </si>
  <si>
    <t>( • CP: 65 CPR, • Stack the Deck; 65 CPR, Driver Position; 60)</t>
  </si>
  <si>
    <t>T9</t>
  </si>
  <si>
    <r>
      <t>Minimum </t>
    </r>
    <r>
      <rPr>
        <b/>
        <i/>
        <sz val="8"/>
        <color rgb="FFA9E34B"/>
        <rFont val="Segoe UI"/>
        <family val="2"/>
      </rPr>
      <t>60 CPR</t>
    </r>
  </si>
  <si>
    <t>(• Stack the Deck, Driver position; 50 CPR | • Gone Fission, 60+ CPR, Hijacker &amp; Engineer 55+)</t>
  </si>
  <si>
    <t>T10</t>
  </si>
  <si>
    <r>
      <t>Minimum </t>
    </r>
    <r>
      <rPr>
        <b/>
        <i/>
        <sz val="8"/>
        <color rgb="FFA9E34B"/>
        <rFont val="Segoe UI"/>
        <family val="2"/>
      </rPr>
      <t>50 CPR</t>
    </r>
  </si>
  <si>
    <t>Smoke and Wing Mirrors</t>
  </si>
  <si>
    <t>Weight</t>
  </si>
  <si>
    <t>CPR</t>
  </si>
  <si>
    <t>Role</t>
  </si>
  <si>
    <t>Car Thief</t>
  </si>
  <si>
    <t>Imitator</t>
  </si>
  <si>
    <t>Hustler #1</t>
  </si>
  <si>
    <t>Hustler #2</t>
  </si>
  <si>
    <t>Chance</t>
  </si>
  <si>
    <t>Very Low</t>
  </si>
  <si>
    <t>Low</t>
  </si>
  <si>
    <t>Standard</t>
  </si>
  <si>
    <t>High</t>
  </si>
  <si>
    <t>Market Forces</t>
  </si>
  <si>
    <t>Enforcer</t>
  </si>
  <si>
    <t>Negotiator</t>
  </si>
  <si>
    <t>Lookout</t>
  </si>
  <si>
    <t>Arsonist</t>
  </si>
  <si>
    <t>Muscle</t>
  </si>
  <si>
    <t>Adjustments</t>
  </si>
  <si>
    <t>Gaslight the Way</t>
  </si>
  <si>
    <t>Imitator #1</t>
  </si>
  <si>
    <t>Imitator #2</t>
  </si>
  <si>
    <t>Imitator #3</t>
  </si>
  <si>
    <t>Looter #1</t>
  </si>
  <si>
    <t>Looter #2</t>
  </si>
  <si>
    <t>Looter #3</t>
  </si>
  <si>
    <t>Snow Blind</t>
  </si>
  <si>
    <t>Hustler</t>
  </si>
  <si>
    <t>Muscle #1</t>
  </si>
  <si>
    <t>Muscle #2</t>
  </si>
  <si>
    <t>Plucking the Lotus Petal</t>
  </si>
  <si>
    <t>Robber #1</t>
  </si>
  <si>
    <t>Robber #2</t>
  </si>
  <si>
    <t>Stage Fright</t>
  </si>
  <si>
    <t>Muscle #3</t>
  </si>
  <si>
    <t>Sniper</t>
  </si>
  <si>
    <t>Guardian Angels</t>
  </si>
  <si>
    <t>Engineer</t>
  </si>
  <si>
    <t>Counter Offer</t>
  </si>
  <si>
    <t>Robber</t>
  </si>
  <si>
    <t>Looter</t>
  </si>
  <si>
    <t>Hacker</t>
  </si>
  <si>
    <t>Picklock</t>
  </si>
  <si>
    <t>No Reserve</t>
  </si>
  <si>
    <t>Techie</t>
  </si>
  <si>
    <t>Honey Trap</t>
  </si>
  <si>
    <t>Bidding War</t>
  </si>
  <si>
    <t>Bomber #1</t>
  </si>
  <si>
    <t>Bomber #2</t>
  </si>
  <si>
    <t>Robber #3</t>
  </si>
  <si>
    <t>Driver</t>
  </si>
  <si>
    <t>Leave No Trace</t>
  </si>
  <si>
    <t>Dish It Out</t>
  </si>
  <si>
    <t>Assassin</t>
  </si>
  <si>
    <t>Saboteur #1</t>
  </si>
  <si>
    <t>Saboteur #2</t>
  </si>
  <si>
    <t>Sneaky Git Grab</t>
  </si>
  <si>
    <t>Pickpocket</t>
  </si>
  <si>
    <t>Blast From The Past</t>
  </si>
  <si>
    <t>Picklock #1</t>
  </si>
  <si>
    <t>Picklock #2</t>
  </si>
  <si>
    <t>Bomber</t>
  </si>
  <si>
    <t>Window of Opportunity</t>
  </si>
  <si>
    <t>Break the Bank</t>
  </si>
  <si>
    <t>Thief #1</t>
  </si>
  <si>
    <t>Thief #2</t>
  </si>
  <si>
    <t>Clinical Precision</t>
  </si>
  <si>
    <t>Cat Burglar</t>
  </si>
  <si>
    <t>Cleaner</t>
  </si>
  <si>
    <t>Stacking the Deck</t>
  </si>
  <si>
    <t>Lock Stock</t>
  </si>
  <si>
    <t>Smuggler</t>
  </si>
  <si>
    <t>Manifest Cruelty</t>
  </si>
  <si>
    <t>Interrogator</t>
  </si>
  <si>
    <t>Reviver</t>
  </si>
  <si>
    <t>Ace in the Hole</t>
  </si>
  <si>
    <t>Gone Fission</t>
  </si>
  <si>
    <t>Hijacker</t>
  </si>
  <si>
    <t>Hostile Takeover</t>
  </si>
  <si>
    <t>Kidnapper</t>
  </si>
  <si>
    <t>Crane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</si>
</sst>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color rgb="FFDDDDDD"/>
      <name val="Segoe UI"/>
      <family val="2"/>
    </font>
    <font>
      <b/>
      <sz val="8"/>
      <color theme="5"/>
      <name val="Segoe UI"/>
      <family val="2"/>
    </font>
    <font>
      <b/>
      <sz val="8"/>
      <color rgb="FFDDDDDD"/>
      <name val="Segoe UI"/>
      <family val="2"/>
    </font>
    <font>
      <b/>
      <sz val="8"/>
      <color rgb="FFA9E34B"/>
      <name val="Segoe UI"/>
      <family val="2"/>
    </font>
    <font>
      <i/>
      <sz val="8"/>
      <color rgb="FFDDDDDD"/>
      <name val="Segoe UI"/>
      <family val="2"/>
    </font>
    <font>
      <i/>
      <sz val="8"/>
      <color rgb="FFCCCCCC"/>
      <name val="Segoe UI"/>
      <family val="2"/>
    </font>
    <font>
      <b/>
      <i/>
      <sz val="8"/>
      <color rgb="FFA9E34B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01522"/>
        <bgColor indexed="64"/>
      </patternFill>
    </fill>
    <fill>
      <patternFill patternType="solid">
        <fgColor rgb="FF141823"/>
        <bgColor indexed="64"/>
      </patternFill>
    </fill>
    <fill>
      <patternFill patternType="solid">
        <fgColor rgb="FF0F11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2C3445"/>
      </left>
      <right style="medium">
        <color rgb="FF2C3445"/>
      </right>
      <top style="medium">
        <color rgb="FF2C3445"/>
      </top>
      <bottom style="medium">
        <color rgb="FF2C3445"/>
      </bottom>
      <diagonal/>
    </border>
    <border>
      <left style="medium">
        <color rgb="FF2C3445"/>
      </left>
      <right style="medium">
        <color rgb="FF2C3445"/>
      </right>
      <top style="medium">
        <color rgb="FF2C3445"/>
      </top>
      <bottom/>
      <diagonal/>
    </border>
    <border>
      <left style="medium">
        <color rgb="FF2C3445"/>
      </left>
      <right style="medium">
        <color rgb="FF2C3445"/>
      </right>
      <top/>
      <bottom style="medium">
        <color rgb="FF2C344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/>
    </xf>
    <xf numFmtId="10" fontId="9" fillId="7" borderId="8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/>
    </xf>
    <xf numFmtId="10" fontId="0" fillId="0" borderId="0" xfId="0" applyNumberFormat="1"/>
    <xf numFmtId="0" fontId="9" fillId="5" borderId="0" xfId="0" applyFont="1" applyFill="1"/>
    <xf numFmtId="0" fontId="9" fillId="6" borderId="0" xfId="0" applyFont="1" applyFill="1"/>
    <xf numFmtId="0" fontId="9" fillId="8" borderId="0" xfId="0" applyFont="1" applyFill="1"/>
    <xf numFmtId="0" fontId="9" fillId="9" borderId="0" xfId="0" applyFont="1" applyFill="1"/>
    <xf numFmtId="0" fontId="10" fillId="0" borderId="0" xfId="0" applyFont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9" fillId="7" borderId="0" xfId="0" applyFont="1" applyFill="1" applyAlignment="1">
      <alignment horizont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7463-6E27-4BCF-B24E-3EA314C2F4B3}">
  <dimension ref="A1:B15"/>
  <sheetViews>
    <sheetView workbookViewId="0">
      <selection activeCell="E2" sqref="E2"/>
    </sheetView>
  </sheetViews>
  <sheetFormatPr defaultRowHeight="14.45"/>
  <cols>
    <col min="2" max="2" width="86.85546875" customWidth="1"/>
  </cols>
  <sheetData>
    <row r="1" spans="1:2" ht="15" thickBot="1">
      <c r="A1" s="5" t="s">
        <v>0</v>
      </c>
      <c r="B1" s="5" t="s">
        <v>1</v>
      </c>
    </row>
    <row r="2" spans="1:2" ht="15" thickBot="1">
      <c r="A2" s="1" t="s">
        <v>2</v>
      </c>
      <c r="B2" s="1" t="s">
        <v>3</v>
      </c>
    </row>
    <row r="3" spans="1:2" ht="15" thickBot="1">
      <c r="A3" s="2" t="s">
        <v>4</v>
      </c>
      <c r="B3" s="2" t="s">
        <v>5</v>
      </c>
    </row>
    <row r="4" spans="1:2" ht="46.5" thickBot="1">
      <c r="A4" s="1" t="s">
        <v>6</v>
      </c>
      <c r="B4" s="1" t="s">
        <v>7</v>
      </c>
    </row>
    <row r="5" spans="1:2" ht="35.1" thickBot="1">
      <c r="A5" s="2" t="s">
        <v>8</v>
      </c>
      <c r="B5" s="2" t="s">
        <v>9</v>
      </c>
    </row>
    <row r="6" spans="1:2" ht="15" thickBot="1">
      <c r="A6" s="1" t="s">
        <v>10</v>
      </c>
      <c r="B6" s="1" t="s">
        <v>5</v>
      </c>
    </row>
    <row r="7" spans="1:2">
      <c r="A7" s="33" t="s">
        <v>11</v>
      </c>
      <c r="B7" s="3" t="s">
        <v>5</v>
      </c>
    </row>
    <row r="8" spans="1:2" ht="15" thickBot="1">
      <c r="A8" s="34"/>
      <c r="B8" s="6" t="s">
        <v>12</v>
      </c>
    </row>
    <row r="9" spans="1:2">
      <c r="A9" s="35" t="s">
        <v>13</v>
      </c>
      <c r="B9" s="4" t="s">
        <v>5</v>
      </c>
    </row>
    <row r="10" spans="1:2" ht="15" thickBot="1">
      <c r="A10" s="36"/>
      <c r="B10" s="7" t="s">
        <v>14</v>
      </c>
    </row>
    <row r="11" spans="1:2">
      <c r="A11" s="33" t="s">
        <v>15</v>
      </c>
      <c r="B11" s="3" t="s">
        <v>16</v>
      </c>
    </row>
    <row r="12" spans="1:2" ht="15" thickBot="1">
      <c r="A12" s="34"/>
      <c r="B12" s="6" t="s">
        <v>17</v>
      </c>
    </row>
    <row r="13" spans="1:2">
      <c r="A13" s="35" t="s">
        <v>18</v>
      </c>
      <c r="B13" s="8" t="s">
        <v>19</v>
      </c>
    </row>
    <row r="14" spans="1:2" ht="15" thickBot="1">
      <c r="A14" s="36"/>
      <c r="B14" s="9" t="s">
        <v>20</v>
      </c>
    </row>
    <row r="15" spans="1:2" ht="15" thickBot="1">
      <c r="A15" s="2" t="s">
        <v>21</v>
      </c>
      <c r="B15" s="10" t="s">
        <v>22</v>
      </c>
    </row>
  </sheetData>
  <mergeCells count="4">
    <mergeCell ref="A7:A8"/>
    <mergeCell ref="A9:A10"/>
    <mergeCell ref="A11:A12"/>
    <mergeCell ref="A13:A1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2866-61B9-4179-A511-A983757CA5D4}">
  <dimension ref="A1:M124"/>
  <sheetViews>
    <sheetView tabSelected="1" topLeftCell="A97" zoomScaleNormal="100" workbookViewId="0">
      <selection activeCell="N18" sqref="N18"/>
    </sheetView>
  </sheetViews>
  <sheetFormatPr defaultRowHeight="14.45"/>
  <cols>
    <col min="2" max="7" width="10.85546875" customWidth="1"/>
    <col min="8" max="8" width="9" customWidth="1"/>
  </cols>
  <sheetData>
    <row r="1" spans="1:13">
      <c r="A1" s="12">
        <v>3</v>
      </c>
      <c r="B1" s="31" t="s">
        <v>23</v>
      </c>
      <c r="C1" s="31"/>
      <c r="D1" s="31"/>
      <c r="E1" s="31"/>
      <c r="F1" s="31"/>
      <c r="G1" s="31"/>
      <c r="H1" s="32"/>
      <c r="L1" s="17" t="s">
        <v>24</v>
      </c>
      <c r="M1" s="17" t="s">
        <v>25</v>
      </c>
    </row>
    <row r="2" spans="1:13">
      <c r="A2" s="24" t="s">
        <v>26</v>
      </c>
      <c r="B2" s="23" t="s">
        <v>27</v>
      </c>
      <c r="C2" s="23" t="s">
        <v>28</v>
      </c>
      <c r="D2" s="23" t="s">
        <v>29</v>
      </c>
      <c r="E2" s="23" t="s">
        <v>30</v>
      </c>
      <c r="F2" s="23"/>
      <c r="G2" s="23"/>
      <c r="H2" s="13" t="s">
        <v>31</v>
      </c>
      <c r="K2" s="21" t="s">
        <v>32</v>
      </c>
      <c r="L2" s="16">
        <v>0</v>
      </c>
      <c r="M2" s="11">
        <v>40</v>
      </c>
    </row>
    <row r="3" spans="1:13">
      <c r="A3" s="24" t="s">
        <v>24</v>
      </c>
      <c r="B3" s="14">
        <v>0.50900000000000001</v>
      </c>
      <c r="C3" s="14">
        <v>0.27110000000000001</v>
      </c>
      <c r="D3" s="14">
        <v>0.09</v>
      </c>
      <c r="E3" s="14">
        <v>0.13</v>
      </c>
      <c r="F3" s="14"/>
      <c r="G3" s="14"/>
      <c r="H3" s="29">
        <f>MIN(1,SUMPRODUCT(B3:G3,B4:G4)/100/SUM(B3:G3))</f>
        <v>0.7280021997800219</v>
      </c>
      <c r="K3" s="20" t="s">
        <v>33</v>
      </c>
      <c r="L3" s="16">
        <v>0.05</v>
      </c>
      <c r="M3" s="11">
        <v>65</v>
      </c>
    </row>
    <row r="4" spans="1:13">
      <c r="A4" s="25" t="s">
        <v>25</v>
      </c>
      <c r="B4" s="15">
        <f>IF(B3="","",IF(B3&lt;$L$3,$M$2,IF(B3&lt;$L$4,$M$3,IF(B3&lt;$L$5,$M$4,$M$5))))</f>
        <v>75</v>
      </c>
      <c r="C4" s="15">
        <f t="shared" ref="C4:G4" si="0">IF(C3="","",IF(C3&lt;$L$3,$M$2,IF(C3&lt;$L$4,$M$3,IF(C3&lt;$L$5,$M$4,$M$5))))</f>
        <v>75</v>
      </c>
      <c r="D4" s="15">
        <f t="shared" si="0"/>
        <v>65</v>
      </c>
      <c r="E4" s="15">
        <f t="shared" si="0"/>
        <v>65</v>
      </c>
      <c r="F4" s="15" t="str">
        <f t="shared" si="0"/>
        <v/>
      </c>
      <c r="G4" s="15" t="str">
        <f t="shared" si="0"/>
        <v/>
      </c>
      <c r="H4" s="30"/>
      <c r="K4" s="22" t="s">
        <v>34</v>
      </c>
      <c r="L4" s="16">
        <v>0.15</v>
      </c>
      <c r="M4" s="11">
        <v>70</v>
      </c>
    </row>
    <row r="5" spans="1:13">
      <c r="B5" s="18"/>
      <c r="C5" s="18"/>
      <c r="D5" s="18"/>
      <c r="E5" s="18"/>
      <c r="F5" s="18"/>
      <c r="G5" s="18"/>
      <c r="H5" s="18"/>
      <c r="K5" s="19" t="s">
        <v>35</v>
      </c>
      <c r="L5" s="16">
        <v>0.25</v>
      </c>
      <c r="M5" s="11">
        <v>75</v>
      </c>
    </row>
    <row r="6" spans="1:13">
      <c r="A6" s="12">
        <v>3</v>
      </c>
      <c r="B6" s="31" t="s">
        <v>36</v>
      </c>
      <c r="C6" s="31"/>
      <c r="D6" s="31"/>
      <c r="E6" s="31"/>
      <c r="F6" s="31"/>
      <c r="G6" s="31"/>
      <c r="H6" s="32"/>
    </row>
    <row r="7" spans="1:13">
      <c r="A7" s="24" t="s">
        <v>26</v>
      </c>
      <c r="B7" s="23" t="s">
        <v>37</v>
      </c>
      <c r="C7" s="23" t="s">
        <v>38</v>
      </c>
      <c r="D7" s="23" t="s">
        <v>39</v>
      </c>
      <c r="E7" s="23" t="s">
        <v>40</v>
      </c>
      <c r="F7" s="23" t="s">
        <v>41</v>
      </c>
      <c r="G7" s="23"/>
      <c r="H7" s="13" t="s">
        <v>31</v>
      </c>
    </row>
    <row r="8" spans="1:13">
      <c r="A8" s="24" t="s">
        <v>24</v>
      </c>
      <c r="B8" s="14">
        <v>0.29399999999999998</v>
      </c>
      <c r="C8" s="14">
        <v>0.27229999999999999</v>
      </c>
      <c r="D8" s="14">
        <v>0.16370000000000001</v>
      </c>
      <c r="E8" s="14">
        <v>4.4600000000000001E-2</v>
      </c>
      <c r="F8" s="14">
        <v>0.22550000000000001</v>
      </c>
      <c r="G8" s="14"/>
      <c r="H8" s="29">
        <f>MIN(1,SUMPRODUCT(B8:G8,B9:G9)/100/SUM(B8:G8))</f>
        <v>0.71493350664933508</v>
      </c>
      <c r="K8" s="28" t="s">
        <v>42</v>
      </c>
      <c r="L8" s="28"/>
    </row>
    <row r="9" spans="1:13">
      <c r="A9" s="25" t="s">
        <v>25</v>
      </c>
      <c r="B9" s="15">
        <f>IF(B8="","",IF(B8&lt;$L$3,$M$2,IF(B8&lt;$L$4,$M$3,IF(B8&lt;$L$5,$M$4,$M$5))))</f>
        <v>75</v>
      </c>
      <c r="C9" s="15">
        <f t="shared" ref="C9" si="1">IF(C8="","",IF(C8&lt;$L$3,$M$2,IF(C8&lt;$L$4,$M$3,IF(C8&lt;$L$5,$M$4,$M$5))))</f>
        <v>75</v>
      </c>
      <c r="D9" s="15">
        <f t="shared" ref="D9" si="2">IF(D8="","",IF(D8&lt;$L$3,$M$2,IF(D8&lt;$L$4,$M$3,IF(D8&lt;$L$5,$M$4,$M$5))))</f>
        <v>70</v>
      </c>
      <c r="E9" s="15">
        <f t="shared" ref="E9" si="3">IF(E8="","",IF(E8&lt;$L$3,$M$2,IF(E8&lt;$L$4,$M$3,IF(E8&lt;$L$5,$M$4,$M$5))))</f>
        <v>40</v>
      </c>
      <c r="F9" s="15">
        <f t="shared" ref="F9" si="4">IF(F8="","",IF(F8&lt;$L$3,$M$2,IF(F8&lt;$L$4,$M$3,IF(F8&lt;$L$5,$M$4,$M$5))))</f>
        <v>70</v>
      </c>
      <c r="G9" s="15" t="str">
        <f t="shared" ref="G9" si="5">IF(G8="","",IF(G8&lt;$L$3,$M$2,IF(G8&lt;$L$4,$M$3,IF(G8&lt;$L$5,$M$4,$M$5))))</f>
        <v/>
      </c>
      <c r="H9" s="30"/>
      <c r="K9" s="26" t="s">
        <v>15</v>
      </c>
      <c r="L9" s="26">
        <v>-5</v>
      </c>
    </row>
    <row r="10" spans="1:13">
      <c r="K10" s="27" t="s">
        <v>18</v>
      </c>
      <c r="L10" s="27">
        <v>-5</v>
      </c>
    </row>
    <row r="11" spans="1:13">
      <c r="A11" s="12">
        <v>3</v>
      </c>
      <c r="B11" s="31" t="s">
        <v>43</v>
      </c>
      <c r="C11" s="31"/>
      <c r="D11" s="31"/>
      <c r="E11" s="31"/>
      <c r="F11" s="31"/>
      <c r="G11" s="31"/>
      <c r="H11" s="32"/>
      <c r="K11" s="26" t="s">
        <v>21</v>
      </c>
      <c r="L11" s="26">
        <v>-15</v>
      </c>
    </row>
    <row r="12" spans="1:13">
      <c r="A12" s="24" t="s">
        <v>26</v>
      </c>
      <c r="B12" s="23" t="s">
        <v>44</v>
      </c>
      <c r="C12" s="23" t="s">
        <v>45</v>
      </c>
      <c r="D12" s="23" t="s">
        <v>46</v>
      </c>
      <c r="E12" s="23" t="s">
        <v>47</v>
      </c>
      <c r="F12" s="23" t="s">
        <v>48</v>
      </c>
      <c r="G12" s="23" t="s">
        <v>49</v>
      </c>
      <c r="H12" s="13" t="s">
        <v>31</v>
      </c>
    </row>
    <row r="13" spans="1:13">
      <c r="A13" s="24" t="s">
        <v>24</v>
      </c>
      <c r="B13" s="14">
        <v>9.3899999999999997E-2</v>
      </c>
      <c r="C13" s="14">
        <v>0.27460000000000001</v>
      </c>
      <c r="D13" s="14">
        <v>0.41320000000000001</v>
      </c>
      <c r="E13" s="14">
        <v>9.3899999999999997E-2</v>
      </c>
      <c r="F13" s="14">
        <v>0</v>
      </c>
      <c r="G13" s="14">
        <v>0.1242</v>
      </c>
      <c r="H13" s="29">
        <f>MIN(1,SUMPRODUCT(B13:G13,B14:G14)/100/SUM(B13:G13))</f>
        <v>0.71879375875175044</v>
      </c>
    </row>
    <row r="14" spans="1:13">
      <c r="A14" s="25" t="s">
        <v>25</v>
      </c>
      <c r="B14" s="15">
        <f>IF(B13="","",IF(B13&lt;$L$3,$M$2,IF(B13&lt;$L$4,$M$3,IF(B13&lt;$L$5,$M$4,$M$5))))</f>
        <v>65</v>
      </c>
      <c r="C14" s="15">
        <f t="shared" ref="C14" si="6">IF(C13="","",IF(C13&lt;$L$3,$M$2,IF(C13&lt;$L$4,$M$3,IF(C13&lt;$L$5,$M$4,$M$5))))</f>
        <v>75</v>
      </c>
      <c r="D14" s="15">
        <f t="shared" ref="D14" si="7">IF(D13="","",IF(D13&lt;$L$3,$M$2,IF(D13&lt;$L$4,$M$3,IF(D13&lt;$L$5,$M$4,$M$5))))</f>
        <v>75</v>
      </c>
      <c r="E14" s="15">
        <f t="shared" ref="E14" si="8">IF(E13="","",IF(E13&lt;$L$3,$M$2,IF(E13&lt;$L$4,$M$3,IF(E13&lt;$L$5,$M$4,$M$5))))</f>
        <v>65</v>
      </c>
      <c r="F14" s="15">
        <f t="shared" ref="F14" si="9">IF(F13="","",IF(F13&lt;$L$3,$M$2,IF(F13&lt;$L$4,$M$3,IF(F13&lt;$L$5,$M$4,$M$5))))</f>
        <v>40</v>
      </c>
      <c r="G14" s="15">
        <f t="shared" ref="G14" si="10">IF(G13="","",IF(G13&lt;$L$3,$M$2,IF(G13&lt;$L$4,$M$3,IF(G13&lt;$L$5,$M$4,$M$5))))</f>
        <v>65</v>
      </c>
      <c r="H14" s="30"/>
    </row>
    <row r="16" spans="1:13">
      <c r="A16" s="12">
        <v>4</v>
      </c>
      <c r="B16" s="31" t="s">
        <v>50</v>
      </c>
      <c r="C16" s="31"/>
      <c r="D16" s="31"/>
      <c r="E16" s="31"/>
      <c r="F16" s="31"/>
      <c r="G16" s="31"/>
      <c r="H16" s="32"/>
    </row>
    <row r="17" spans="1:8">
      <c r="A17" s="24" t="s">
        <v>26</v>
      </c>
      <c r="B17" s="23" t="s">
        <v>51</v>
      </c>
      <c r="C17" s="23" t="s">
        <v>28</v>
      </c>
      <c r="D17" s="23" t="s">
        <v>52</v>
      </c>
      <c r="E17" s="23" t="s">
        <v>53</v>
      </c>
      <c r="F17" s="23"/>
      <c r="G17" s="23"/>
      <c r="H17" s="13" t="s">
        <v>31</v>
      </c>
    </row>
    <row r="18" spans="1:8">
      <c r="A18" s="24" t="s">
        <v>24</v>
      </c>
      <c r="B18" s="14">
        <v>0.48409999999999997</v>
      </c>
      <c r="C18" s="14">
        <v>0.35570000000000002</v>
      </c>
      <c r="D18" s="14">
        <v>8.5099999999999995E-2</v>
      </c>
      <c r="E18" s="14">
        <v>8.5099999999999995E-2</v>
      </c>
      <c r="F18" s="14"/>
      <c r="G18" s="14"/>
      <c r="H18" s="29">
        <f>MIN(1,SUMPRODUCT(B18:G18,B19:G19)/100/SUM(B18:G18))</f>
        <v>0.73314851485148502</v>
      </c>
    </row>
    <row r="19" spans="1:8">
      <c r="A19" s="25" t="s">
        <v>25</v>
      </c>
      <c r="B19" s="15">
        <f>IF(B18="","",IF(B18&lt;$L$3,$M$2,IF(B18&lt;$L$4,$M$3,IF(B18&lt;$L$5,$M$4,$M$5))))</f>
        <v>75</v>
      </c>
      <c r="C19" s="15">
        <f t="shared" ref="C19" si="11">IF(C18="","",IF(C18&lt;$L$3,$M$2,IF(C18&lt;$L$4,$M$3,IF(C18&lt;$L$5,$M$4,$M$5))))</f>
        <v>75</v>
      </c>
      <c r="D19" s="15">
        <f t="shared" ref="D19" si="12">IF(D18="","",IF(D18&lt;$L$3,$M$2,IF(D18&lt;$L$4,$M$3,IF(D18&lt;$L$5,$M$4,$M$5))))</f>
        <v>65</v>
      </c>
      <c r="E19" s="15">
        <f t="shared" ref="E19" si="13">IF(E18="","",IF(E18&lt;$L$3,$M$2,IF(E18&lt;$L$4,$M$3,IF(E18&lt;$L$5,$M$4,$M$5))))</f>
        <v>65</v>
      </c>
      <c r="F19" s="15" t="str">
        <f t="shared" ref="F19" si="14">IF(F18="","",IF(F18&lt;$L$3,$M$2,IF(F18&lt;$L$4,$M$3,IF(F18&lt;$L$5,$M$4,$M$5))))</f>
        <v/>
      </c>
      <c r="G19" s="15" t="str">
        <f t="shared" ref="G19" si="15">IF(G18="","",IF(G18&lt;$L$3,$M$2,IF(G18&lt;$L$4,$M$3,IF(G18&lt;$L$5,$M$4,$M$5))))</f>
        <v/>
      </c>
      <c r="H19" s="30"/>
    </row>
    <row r="21" spans="1:8">
      <c r="A21" s="12">
        <v>4</v>
      </c>
      <c r="B21" s="31" t="s">
        <v>54</v>
      </c>
      <c r="C21" s="31"/>
      <c r="D21" s="31"/>
      <c r="E21" s="31"/>
      <c r="F21" s="31"/>
      <c r="G21" s="31"/>
      <c r="H21" s="32"/>
    </row>
    <row r="22" spans="1:8">
      <c r="A22" s="24" t="s">
        <v>26</v>
      </c>
      <c r="B22" s="23" t="s">
        <v>41</v>
      </c>
      <c r="C22" s="23" t="s">
        <v>51</v>
      </c>
      <c r="D22" s="23" t="s">
        <v>55</v>
      </c>
      <c r="E22" s="23" t="s">
        <v>56</v>
      </c>
      <c r="F22" s="23"/>
      <c r="G22" s="23"/>
      <c r="H22" s="13" t="s">
        <v>31</v>
      </c>
    </row>
    <row r="23" spans="1:8">
      <c r="A23" s="24" t="s">
        <v>24</v>
      </c>
      <c r="B23" s="14">
        <v>0.47899999999999998</v>
      </c>
      <c r="C23" s="14">
        <v>0.1439</v>
      </c>
      <c r="D23" s="14">
        <v>0.14030000000000001</v>
      </c>
      <c r="E23" s="14">
        <v>0.23680000000000001</v>
      </c>
      <c r="F23" s="14"/>
      <c r="G23" s="14"/>
      <c r="H23" s="29">
        <f>MIN(1,SUMPRODUCT(B23:G23,B24:G24)/100/SUM(B23:G23))</f>
        <v>0.70973999999999993</v>
      </c>
    </row>
    <row r="24" spans="1:8">
      <c r="A24" s="25" t="s">
        <v>25</v>
      </c>
      <c r="B24" s="15">
        <f>IF(B23="","",IF(B23&lt;$L$3,$M$2,IF(B23&lt;$L$4,$M$3,IF(B23&lt;$L$5,$M$4,$M$5))))</f>
        <v>75</v>
      </c>
      <c r="C24" s="15">
        <f t="shared" ref="C24" si="16">IF(C23="","",IF(C23&lt;$L$3,$M$2,IF(C23&lt;$L$4,$M$3,IF(C23&lt;$L$5,$M$4,$M$5))))</f>
        <v>65</v>
      </c>
      <c r="D24" s="15">
        <f t="shared" ref="D24" si="17">IF(D23="","",IF(D23&lt;$L$3,$M$2,IF(D23&lt;$L$4,$M$3,IF(D23&lt;$L$5,$M$4,$M$5))))</f>
        <v>65</v>
      </c>
      <c r="E24" s="15">
        <f t="shared" ref="E24" si="18">IF(E23="","",IF(E23&lt;$L$3,$M$2,IF(E23&lt;$L$4,$M$3,IF(E23&lt;$L$5,$M$4,$M$5))))</f>
        <v>70</v>
      </c>
      <c r="F24" s="15" t="str">
        <f t="shared" ref="F24" si="19">IF(F23="","",IF(F23&lt;$L$3,$M$2,IF(F23&lt;$L$4,$M$3,IF(F23&lt;$L$5,$M$4,$M$5))))</f>
        <v/>
      </c>
      <c r="G24" s="15" t="str">
        <f t="shared" ref="G24" si="20">IF(G23="","",IF(G23&lt;$L$3,$M$2,IF(G23&lt;$L$4,$M$3,IF(G23&lt;$L$5,$M$4,$M$5))))</f>
        <v/>
      </c>
      <c r="H24" s="30"/>
    </row>
    <row r="26" spans="1:8">
      <c r="A26" s="12">
        <v>4</v>
      </c>
      <c r="B26" s="31" t="s">
        <v>57</v>
      </c>
      <c r="C26" s="31"/>
      <c r="D26" s="31"/>
      <c r="E26" s="31"/>
      <c r="F26" s="31"/>
      <c r="G26" s="31"/>
      <c r="H26" s="32"/>
    </row>
    <row r="27" spans="1:8">
      <c r="A27" s="24" t="s">
        <v>26</v>
      </c>
      <c r="B27" s="23" t="s">
        <v>37</v>
      </c>
      <c r="C27" s="23" t="s">
        <v>52</v>
      </c>
      <c r="D27" s="23" t="s">
        <v>53</v>
      </c>
      <c r="E27" s="23" t="s">
        <v>58</v>
      </c>
      <c r="F27" s="23" t="s">
        <v>39</v>
      </c>
      <c r="G27" s="23" t="s">
        <v>59</v>
      </c>
      <c r="H27" s="13" t="s">
        <v>31</v>
      </c>
    </row>
    <row r="28" spans="1:8">
      <c r="A28" s="24" t="s">
        <v>24</v>
      </c>
      <c r="B28" s="14">
        <v>0.15670000000000001</v>
      </c>
      <c r="C28" s="14">
        <v>0.2001</v>
      </c>
      <c r="D28" s="14">
        <v>2.6599999999999999E-2</v>
      </c>
      <c r="E28" s="14">
        <v>9.1700000000000004E-2</v>
      </c>
      <c r="F28" s="14">
        <v>6.1899999999999997E-2</v>
      </c>
      <c r="G28" s="14">
        <v>0.46300000000000002</v>
      </c>
      <c r="H28" s="29">
        <f>MIN(1,SUMPRODUCT(B28:G28,B29:G29)/100/SUM(B28:G28))</f>
        <v>0.70748999999999995</v>
      </c>
    </row>
    <row r="29" spans="1:8">
      <c r="A29" s="25" t="s">
        <v>25</v>
      </c>
      <c r="B29" s="15">
        <f>IF(B28="","",IF(B28&lt;$L$3,$M$2,IF(B28&lt;$L$4,$M$3,IF(B28&lt;$L$5,$M$4,$M$5))))</f>
        <v>70</v>
      </c>
      <c r="C29" s="15">
        <f t="shared" ref="C29" si="21">IF(C28="","",IF(C28&lt;$L$3,$M$2,IF(C28&lt;$L$4,$M$3,IF(C28&lt;$L$5,$M$4,$M$5))))</f>
        <v>70</v>
      </c>
      <c r="D29" s="15">
        <f t="shared" ref="D29" si="22">IF(D28="","",IF(D28&lt;$L$3,$M$2,IF(D28&lt;$L$4,$M$3,IF(D28&lt;$L$5,$M$4,$M$5))))</f>
        <v>40</v>
      </c>
      <c r="E29" s="15">
        <f t="shared" ref="E29" si="23">IF(E28="","",IF(E28&lt;$L$3,$M$2,IF(E28&lt;$L$4,$M$3,IF(E28&lt;$L$5,$M$4,$M$5))))</f>
        <v>65</v>
      </c>
      <c r="F29" s="15">
        <f t="shared" ref="F29" si="24">IF(F28="","",IF(F28&lt;$L$3,$M$2,IF(F28&lt;$L$4,$M$3,IF(F28&lt;$L$5,$M$4,$M$5))))</f>
        <v>65</v>
      </c>
      <c r="G29" s="15">
        <f t="shared" ref="G29" si="25">IF(G28="","",IF(G28&lt;$L$3,$M$2,IF(G28&lt;$L$4,$M$3,IF(G28&lt;$L$5,$M$4,$M$5))))</f>
        <v>75</v>
      </c>
      <c r="H29" s="30"/>
    </row>
    <row r="31" spans="1:8">
      <c r="A31" s="12">
        <v>5</v>
      </c>
      <c r="B31" s="31" t="s">
        <v>60</v>
      </c>
      <c r="C31" s="31"/>
      <c r="D31" s="31"/>
      <c r="E31" s="31"/>
      <c r="F31" s="31"/>
      <c r="G31" s="31"/>
      <c r="H31" s="32"/>
    </row>
    <row r="32" spans="1:8">
      <c r="A32" s="24" t="s">
        <v>26</v>
      </c>
      <c r="B32" s="23" t="s">
        <v>37</v>
      </c>
      <c r="C32" s="23" t="s">
        <v>51</v>
      </c>
      <c r="D32" s="23" t="s">
        <v>61</v>
      </c>
      <c r="E32" s="23"/>
      <c r="F32" s="23"/>
      <c r="G32" s="23"/>
      <c r="H32" s="13" t="s">
        <v>31</v>
      </c>
    </row>
    <row r="33" spans="1:8">
      <c r="A33" s="24" t="s">
        <v>24</v>
      </c>
      <c r="B33" s="14">
        <v>0.27400000000000002</v>
      </c>
      <c r="C33" s="14">
        <v>0.42099999999999999</v>
      </c>
      <c r="D33" s="14">
        <v>0.3049</v>
      </c>
      <c r="E33" s="14"/>
      <c r="F33" s="14"/>
      <c r="G33" s="14"/>
      <c r="H33" s="29">
        <f>MIN(1,SUMPRODUCT(B33:G33,B34:G34)/100/SUM(B33:G33))</f>
        <v>0.75</v>
      </c>
    </row>
    <row r="34" spans="1:8">
      <c r="A34" s="25" t="s">
        <v>25</v>
      </c>
      <c r="B34" s="15">
        <f>IF(B33="","",IF(B33&lt;$L$3,$M$2,IF(B33&lt;$L$4,$M$3,IF(B33&lt;$L$5,$M$4,$M$5))))</f>
        <v>75</v>
      </c>
      <c r="C34" s="15">
        <f t="shared" ref="C34" si="26">IF(C33="","",IF(C33&lt;$L$3,$M$2,IF(C33&lt;$L$4,$M$3,IF(C33&lt;$L$5,$M$4,$M$5))))</f>
        <v>75</v>
      </c>
      <c r="D34" s="15">
        <f t="shared" ref="D34" si="27">IF(D33="","",IF(D33&lt;$L$3,$M$2,IF(D33&lt;$L$4,$M$3,IF(D33&lt;$L$5,$M$4,$M$5))))</f>
        <v>75</v>
      </c>
      <c r="E34" s="15" t="str">
        <f t="shared" ref="E34" si="28">IF(E33="","",IF(E33&lt;$L$3,$M$2,IF(E33&lt;$L$4,$M$3,IF(E33&lt;$L$5,$M$4,$M$5))))</f>
        <v/>
      </c>
      <c r="F34" s="15" t="str">
        <f t="shared" ref="F34" si="29">IF(F33="","",IF(F33&lt;$L$3,$M$2,IF(F33&lt;$L$4,$M$3,IF(F33&lt;$L$5,$M$4,$M$5))))</f>
        <v/>
      </c>
      <c r="G34" s="15" t="str">
        <f t="shared" ref="G34" si="30">IF(G33="","",IF(G33&lt;$L$3,$M$2,IF(G33&lt;$L$4,$M$3,IF(G33&lt;$L$5,$M$4,$M$5))))</f>
        <v/>
      </c>
      <c r="H34" s="30"/>
    </row>
    <row r="36" spans="1:8">
      <c r="A36" s="12">
        <v>5</v>
      </c>
      <c r="B36" s="31" t="s">
        <v>62</v>
      </c>
      <c r="C36" s="31"/>
      <c r="D36" s="31"/>
      <c r="E36" s="31"/>
      <c r="F36" s="31"/>
      <c r="G36" s="31"/>
      <c r="H36" s="32"/>
    </row>
    <row r="37" spans="1:8">
      <c r="A37" s="24" t="s">
        <v>26</v>
      </c>
      <c r="B37" s="23" t="s">
        <v>63</v>
      </c>
      <c r="C37" s="23" t="s">
        <v>64</v>
      </c>
      <c r="D37" s="23" t="s">
        <v>65</v>
      </c>
      <c r="E37" s="23" t="s">
        <v>66</v>
      </c>
      <c r="F37" s="23" t="s">
        <v>61</v>
      </c>
      <c r="G37" s="23"/>
      <c r="H37" s="13" t="s">
        <v>31</v>
      </c>
    </row>
    <row r="38" spans="1:8">
      <c r="A38" s="24" t="s">
        <v>24</v>
      </c>
      <c r="B38" s="14">
        <v>0.35949999999999999</v>
      </c>
      <c r="C38" s="14">
        <v>7.0000000000000007E-2</v>
      </c>
      <c r="D38" s="14">
        <v>0.12130000000000001</v>
      </c>
      <c r="E38" s="14">
        <v>0.16539999999999999</v>
      </c>
      <c r="F38" s="14">
        <v>0.28389999999999999</v>
      </c>
      <c r="G38" s="14"/>
      <c r="H38" s="29">
        <f>MIN(1,SUMPRODUCT(B38:G38,B39:G39)/100/SUM(B38:G38))</f>
        <v>0.7226027397260274</v>
      </c>
    </row>
    <row r="39" spans="1:8">
      <c r="A39" s="25" t="s">
        <v>25</v>
      </c>
      <c r="B39" s="15">
        <f>IF(B38="","",IF(B38&lt;$L$3,$M$2,IF(B38&lt;$L$4,$M$3,IF(B38&lt;$L$5,$M$4,$M$5))))</f>
        <v>75</v>
      </c>
      <c r="C39" s="15">
        <f t="shared" ref="C39" si="31">IF(C38="","",IF(C38&lt;$L$3,$M$2,IF(C38&lt;$L$4,$M$3,IF(C38&lt;$L$5,$M$4,$M$5))))</f>
        <v>65</v>
      </c>
      <c r="D39" s="15">
        <f t="shared" ref="D39" si="32">IF(D38="","",IF(D38&lt;$L$3,$M$2,IF(D38&lt;$L$4,$M$3,IF(D38&lt;$L$5,$M$4,$M$5))))</f>
        <v>65</v>
      </c>
      <c r="E39" s="15">
        <f t="shared" ref="E39" si="33">IF(E38="","",IF(E38&lt;$L$3,$M$2,IF(E38&lt;$L$4,$M$3,IF(E38&lt;$L$5,$M$4,$M$5))))</f>
        <v>70</v>
      </c>
      <c r="F39" s="15">
        <f t="shared" ref="F39" si="34">IF(F38="","",IF(F38&lt;$L$3,$M$2,IF(F38&lt;$L$4,$M$3,IF(F38&lt;$L$5,$M$4,$M$5))))</f>
        <v>75</v>
      </c>
      <c r="G39" s="15" t="str">
        <f t="shared" ref="G39" si="35">IF(G38="","",IF(G38&lt;$L$3,$M$2,IF(G38&lt;$L$4,$M$3,IF(G38&lt;$L$5,$M$4,$M$5))))</f>
        <v/>
      </c>
      <c r="H39" s="30"/>
    </row>
    <row r="41" spans="1:8">
      <c r="A41" s="12">
        <v>5</v>
      </c>
      <c r="B41" s="31" t="s">
        <v>67</v>
      </c>
      <c r="C41" s="31"/>
      <c r="D41" s="31"/>
      <c r="E41" s="31"/>
      <c r="F41" s="31"/>
      <c r="G41" s="31"/>
      <c r="H41" s="32"/>
    </row>
    <row r="42" spans="1:8">
      <c r="A42" s="24" t="s">
        <v>26</v>
      </c>
      <c r="B42" s="23" t="s">
        <v>27</v>
      </c>
      <c r="C42" s="23" t="s">
        <v>68</v>
      </c>
      <c r="D42" s="23" t="s">
        <v>61</v>
      </c>
      <c r="E42" s="23"/>
      <c r="F42" s="23"/>
      <c r="G42" s="23"/>
      <c r="H42" s="13" t="s">
        <v>31</v>
      </c>
    </row>
    <row r="43" spans="1:8">
      <c r="A43" s="24" t="s">
        <v>24</v>
      </c>
      <c r="B43" s="14">
        <v>0.30509999999999998</v>
      </c>
      <c r="C43" s="14">
        <v>0.38369999999999999</v>
      </c>
      <c r="D43" s="14">
        <v>0.31119999999999998</v>
      </c>
      <c r="E43" s="14"/>
      <c r="F43" s="14"/>
      <c r="G43" s="14"/>
      <c r="H43" s="29">
        <f>MIN(1,SUMPRODUCT(B43:G43,B44:G44)/100/SUM(B43:G43))</f>
        <v>0.75</v>
      </c>
    </row>
    <row r="44" spans="1:8">
      <c r="A44" s="25" t="s">
        <v>25</v>
      </c>
      <c r="B44" s="15">
        <f>IF(B43="","",IF(B43&lt;$L$3,$M$2,IF(B43&lt;$L$4,$M$3,IF(B43&lt;$L$5,$M$4,$M$5))))</f>
        <v>75</v>
      </c>
      <c r="C44" s="15">
        <f t="shared" ref="C44" si="36">IF(C43="","",IF(C43&lt;$L$3,$M$2,IF(C43&lt;$L$4,$M$3,IF(C43&lt;$L$5,$M$4,$M$5))))</f>
        <v>75</v>
      </c>
      <c r="D44" s="15">
        <f t="shared" ref="D44" si="37">IF(D43="","",IF(D43&lt;$L$3,$M$2,IF(D43&lt;$L$4,$M$3,IF(D43&lt;$L$5,$M$4,$M$5))))</f>
        <v>75</v>
      </c>
      <c r="E44" s="15" t="str">
        <f t="shared" ref="E44" si="38">IF(E43="","",IF(E43&lt;$L$3,$M$2,IF(E43&lt;$L$4,$M$3,IF(E43&lt;$L$5,$M$4,$M$5))))</f>
        <v/>
      </c>
      <c r="F44" s="15" t="str">
        <f t="shared" ref="F44" si="39">IF(F43="","",IF(F43&lt;$L$3,$M$2,IF(F43&lt;$L$4,$M$3,IF(F43&lt;$L$5,$M$4,$M$5))))</f>
        <v/>
      </c>
      <c r="G44" s="15" t="str">
        <f t="shared" ref="G44" si="40">IF(G43="","",IF(G43&lt;$L$3,$M$2,IF(G43&lt;$L$4,$M$3,IF(G43&lt;$L$5,$M$4,$M$5))))</f>
        <v/>
      </c>
      <c r="H44" s="30"/>
    </row>
    <row r="46" spans="1:8">
      <c r="A46" s="12">
        <v>5</v>
      </c>
      <c r="B46" s="31" t="s">
        <v>69</v>
      </c>
      <c r="C46" s="31"/>
      <c r="D46" s="31"/>
      <c r="E46" s="31"/>
      <c r="F46" s="31"/>
      <c r="G46" s="31"/>
      <c r="H46" s="32"/>
    </row>
    <row r="47" spans="1:8">
      <c r="A47" s="24" t="s">
        <v>26</v>
      </c>
      <c r="B47" s="23" t="s">
        <v>52</v>
      </c>
      <c r="C47" s="23" t="s">
        <v>53</v>
      </c>
      <c r="D47" s="23" t="s">
        <v>37</v>
      </c>
      <c r="E47" s="23"/>
      <c r="F47" s="23"/>
      <c r="G47" s="23"/>
      <c r="H47" s="13" t="s">
        <v>31</v>
      </c>
    </row>
    <row r="48" spans="1:8">
      <c r="A48" s="24" t="s">
        <v>24</v>
      </c>
      <c r="B48" s="14">
        <v>0.30869999999999997</v>
      </c>
      <c r="C48" s="14">
        <v>0.42149999999999999</v>
      </c>
      <c r="D48" s="14">
        <v>0.26979999999999998</v>
      </c>
      <c r="E48" s="14"/>
      <c r="F48" s="14"/>
      <c r="G48" s="14"/>
      <c r="H48" s="29">
        <f>MIN(1,SUMPRODUCT(B48:G48,B49:G49)/100/SUM(B48:G48))</f>
        <v>0.75</v>
      </c>
    </row>
    <row r="49" spans="1:8">
      <c r="A49" s="25" t="s">
        <v>25</v>
      </c>
      <c r="B49" s="15">
        <f>IF(B48="","",IF(B48&lt;$L$3,$M$2,IF(B48&lt;$L$4,$M$3,IF(B48&lt;$L$5,$M$4,$M$5))))</f>
        <v>75</v>
      </c>
      <c r="C49" s="15">
        <f t="shared" ref="C49" si="41">IF(C48="","",IF(C48&lt;$L$3,$M$2,IF(C48&lt;$L$4,$M$3,IF(C48&lt;$L$5,$M$4,$M$5))))</f>
        <v>75</v>
      </c>
      <c r="D49" s="15">
        <f t="shared" ref="D49" si="42">IF(D48="","",IF(D48&lt;$L$3,$M$2,IF(D48&lt;$L$4,$M$3,IF(D48&lt;$L$5,$M$4,$M$5))))</f>
        <v>75</v>
      </c>
      <c r="E49" s="15" t="str">
        <f t="shared" ref="E49" si="43">IF(E48="","",IF(E48&lt;$L$3,$M$2,IF(E48&lt;$L$4,$M$3,IF(E48&lt;$L$5,$M$4,$M$5))))</f>
        <v/>
      </c>
      <c r="F49" s="15" t="str">
        <f t="shared" ref="F49" si="44">IF(F48="","",IF(F48&lt;$L$3,$M$2,IF(F48&lt;$L$4,$M$3,IF(F48&lt;$L$5,$M$4,$M$5))))</f>
        <v/>
      </c>
      <c r="G49" s="15" t="str">
        <f t="shared" ref="G49" si="45">IF(G48="","",IF(G48&lt;$L$3,$M$2,IF(G48&lt;$L$4,$M$3,IF(G48&lt;$L$5,$M$4,$M$5))))</f>
        <v/>
      </c>
      <c r="H49" s="30"/>
    </row>
    <row r="51" spans="1:8">
      <c r="A51" s="12">
        <v>6</v>
      </c>
      <c r="B51" s="31" t="s">
        <v>70</v>
      </c>
      <c r="C51" s="31"/>
      <c r="D51" s="31"/>
      <c r="E51" s="31"/>
      <c r="F51" s="31"/>
      <c r="G51" s="31"/>
      <c r="H51" s="32"/>
    </row>
    <row r="52" spans="1:8">
      <c r="A52" s="24" t="s">
        <v>26</v>
      </c>
      <c r="B52" s="23" t="s">
        <v>71</v>
      </c>
      <c r="C52" s="23" t="s">
        <v>72</v>
      </c>
      <c r="D52" s="23" t="s">
        <v>55</v>
      </c>
      <c r="E52" s="23" t="s">
        <v>56</v>
      </c>
      <c r="F52" s="23" t="s">
        <v>73</v>
      </c>
      <c r="G52" s="23" t="s">
        <v>74</v>
      </c>
      <c r="H52" s="13" t="s">
        <v>31</v>
      </c>
    </row>
    <row r="53" spans="1:8">
      <c r="A53" s="24" t="s">
        <v>24</v>
      </c>
      <c r="B53" s="14">
        <v>7.85E-2</v>
      </c>
      <c r="C53" s="14">
        <v>0.1797</v>
      </c>
      <c r="D53" s="14">
        <v>7.0999999999999994E-2</v>
      </c>
      <c r="E53" s="14">
        <v>0.22869999999999999</v>
      </c>
      <c r="F53" s="14">
        <v>0.31669999999999998</v>
      </c>
      <c r="G53" s="14">
        <v>0.12540000000000001</v>
      </c>
      <c r="H53" s="29">
        <f>MIN(1,SUMPRODUCT(B53:G53,B54:G54)/100/SUM(B53:G53))</f>
        <v>0.70208999999999988</v>
      </c>
    </row>
    <row r="54" spans="1:8">
      <c r="A54" s="25" t="s">
        <v>25</v>
      </c>
      <c r="B54" s="15">
        <f>IF(B53="","",IF(B53&lt;$L$3,$M$2,IF(B53&lt;$L$4,$M$3,IF(B53&lt;$L$5,$M$4,$M$5))))</f>
        <v>65</v>
      </c>
      <c r="C54" s="15">
        <f t="shared" ref="C54" si="46">IF(C53="","",IF(C53&lt;$L$3,$M$2,IF(C53&lt;$L$4,$M$3,IF(C53&lt;$L$5,$M$4,$M$5))))</f>
        <v>70</v>
      </c>
      <c r="D54" s="15">
        <f t="shared" ref="D54" si="47">IF(D53="","",IF(D53&lt;$L$3,$M$2,IF(D53&lt;$L$4,$M$3,IF(D53&lt;$L$5,$M$4,$M$5))))</f>
        <v>65</v>
      </c>
      <c r="E54" s="15">
        <f t="shared" ref="E54" si="48">IF(E53="","",IF(E53&lt;$L$3,$M$2,IF(E53&lt;$L$4,$M$3,IF(E53&lt;$L$5,$M$4,$M$5))))</f>
        <v>70</v>
      </c>
      <c r="F54" s="15">
        <f t="shared" ref="F54" si="49">IF(F53="","",IF(F53&lt;$L$3,$M$2,IF(F53&lt;$L$4,$M$3,IF(F53&lt;$L$5,$M$4,$M$5))))</f>
        <v>75</v>
      </c>
      <c r="G54" s="15">
        <f t="shared" ref="G54" si="50">IF(G53="","",IF(G53&lt;$L$3,$M$2,IF(G53&lt;$L$4,$M$3,IF(G53&lt;$L$5,$M$4,$M$5))))</f>
        <v>65</v>
      </c>
      <c r="H54" s="30"/>
    </row>
    <row r="56" spans="1:8">
      <c r="A56" s="12">
        <v>6</v>
      </c>
      <c r="B56" s="31" t="s">
        <v>75</v>
      </c>
      <c r="C56" s="31"/>
      <c r="D56" s="31"/>
      <c r="E56" s="31"/>
      <c r="F56" s="31"/>
      <c r="G56" s="31"/>
      <c r="H56" s="32"/>
    </row>
    <row r="57" spans="1:8">
      <c r="A57" s="24" t="s">
        <v>26</v>
      </c>
      <c r="B57" s="23" t="s">
        <v>68</v>
      </c>
      <c r="C57" s="23" t="s">
        <v>38</v>
      </c>
      <c r="D57" s="23" t="s">
        <v>28</v>
      </c>
      <c r="E57" s="23"/>
      <c r="F57" s="23"/>
      <c r="G57" s="23"/>
      <c r="H57" s="13" t="s">
        <v>31</v>
      </c>
    </row>
    <row r="58" spans="1:8">
      <c r="A58" s="24" t="s">
        <v>24</v>
      </c>
      <c r="B58" s="14">
        <v>0.29010000000000002</v>
      </c>
      <c r="C58" s="14">
        <v>0.34129999999999999</v>
      </c>
      <c r="D58" s="14">
        <v>0.36859999999999998</v>
      </c>
      <c r="E58" s="14"/>
      <c r="F58" s="14"/>
      <c r="G58" s="14"/>
      <c r="H58" s="29">
        <f>MIN(1,SUMPRODUCT(B58:G58,B59:G59)/100/SUM(B58:G58))</f>
        <v>0.75</v>
      </c>
    </row>
    <row r="59" spans="1:8">
      <c r="A59" s="25" t="s">
        <v>25</v>
      </c>
      <c r="B59" s="15">
        <f>IF(B58="","",IF(B58&lt;$L$3,$M$2,IF(B58&lt;$L$4,$M$3,IF(B58&lt;$L$5,$M$4,$M$5))))</f>
        <v>75</v>
      </c>
      <c r="C59" s="15">
        <f t="shared" ref="C59" si="51">IF(C58="","",IF(C58&lt;$L$3,$M$2,IF(C58&lt;$L$4,$M$3,IF(C58&lt;$L$5,$M$4,$M$5))))</f>
        <v>75</v>
      </c>
      <c r="D59" s="15">
        <f t="shared" ref="D59" si="52">IF(D58="","",IF(D58&lt;$L$3,$M$2,IF(D58&lt;$L$4,$M$3,IF(D58&lt;$L$5,$M$4,$M$5))))</f>
        <v>75</v>
      </c>
      <c r="E59" s="15" t="str">
        <f t="shared" ref="E59" si="53">IF(E58="","",IF(E58&lt;$L$3,$M$2,IF(E58&lt;$L$4,$M$3,IF(E58&lt;$L$5,$M$4,$M$5))))</f>
        <v/>
      </c>
      <c r="F59" s="15" t="str">
        <f t="shared" ref="F59" si="54">IF(F58="","",IF(F58&lt;$L$3,$M$2,IF(F58&lt;$L$4,$M$3,IF(F58&lt;$L$5,$M$4,$M$5))))</f>
        <v/>
      </c>
      <c r="G59" s="15" t="str">
        <f t="shared" ref="G59" si="55">IF(G58="","",IF(G58&lt;$L$3,$M$2,IF(G58&lt;$L$4,$M$3,IF(G58&lt;$L$5,$M$4,$M$5))))</f>
        <v/>
      </c>
      <c r="H59" s="30"/>
    </row>
    <row r="61" spans="1:8">
      <c r="A61" s="12">
        <v>6</v>
      </c>
      <c r="B61" s="31" t="s">
        <v>76</v>
      </c>
      <c r="C61" s="31"/>
      <c r="D61" s="31"/>
      <c r="E61" s="31"/>
      <c r="F61" s="31"/>
      <c r="G61" s="31"/>
      <c r="H61" s="32"/>
    </row>
    <row r="62" spans="1:8">
      <c r="A62" s="24" t="s">
        <v>26</v>
      </c>
      <c r="B62" s="23" t="s">
        <v>77</v>
      </c>
      <c r="C62" s="23" t="s">
        <v>41</v>
      </c>
      <c r="D62" s="23" t="s">
        <v>78</v>
      </c>
      <c r="E62" s="23" t="s">
        <v>79</v>
      </c>
      <c r="F62" s="23" t="s">
        <v>61</v>
      </c>
      <c r="G62" s="23"/>
      <c r="H62" s="13" t="s">
        <v>31</v>
      </c>
    </row>
    <row r="63" spans="1:8">
      <c r="A63" s="24" t="s">
        <v>24</v>
      </c>
      <c r="B63" s="14">
        <v>0.37340000000000001</v>
      </c>
      <c r="C63" s="14">
        <v>0.25240000000000001</v>
      </c>
      <c r="D63" s="14">
        <v>0.1464</v>
      </c>
      <c r="E63" s="14">
        <v>8.9099999999999999E-2</v>
      </c>
      <c r="F63" s="14">
        <v>0.13869999999999999</v>
      </c>
      <c r="G63" s="14"/>
      <c r="H63" s="29">
        <f>MIN(1,SUMPRODUCT(B63:G63,B64:G64)/100/SUM(B63:G63))</f>
        <v>0.71257999999999999</v>
      </c>
    </row>
    <row r="64" spans="1:8">
      <c r="A64" s="25" t="s">
        <v>25</v>
      </c>
      <c r="B64" s="15">
        <f>IF(B63="","",IF(B63&lt;$L$3,$M$2,IF(B63&lt;$L$4,$M$3,IF(B63&lt;$L$5,$M$4,$M$5))))</f>
        <v>75</v>
      </c>
      <c r="C64" s="15">
        <f t="shared" ref="C64" si="56">IF(C63="","",IF(C63&lt;$L$3,$M$2,IF(C63&lt;$L$4,$M$3,IF(C63&lt;$L$5,$M$4,$M$5))))</f>
        <v>75</v>
      </c>
      <c r="D64" s="15">
        <f t="shared" ref="D64" si="57">IF(D63="","",IF(D63&lt;$L$3,$M$2,IF(D63&lt;$L$4,$M$3,IF(D63&lt;$L$5,$M$4,$M$5))))</f>
        <v>65</v>
      </c>
      <c r="E64" s="15">
        <f t="shared" ref="E64" si="58">IF(E63="","",IF(E63&lt;$L$3,$M$2,IF(E63&lt;$L$4,$M$3,IF(E63&lt;$L$5,$M$4,$M$5))))</f>
        <v>65</v>
      </c>
      <c r="F64" s="15">
        <f t="shared" ref="F64" si="59">IF(F63="","",IF(F63&lt;$L$3,$M$2,IF(F63&lt;$L$4,$M$3,IF(F63&lt;$L$5,$M$4,$M$5))))</f>
        <v>65</v>
      </c>
      <c r="G64" s="15" t="str">
        <f t="shared" ref="G64" si="60">IF(G63="","",IF(G63&lt;$L$3,$M$2,IF(G63&lt;$L$4,$M$3,IF(G63&lt;$L$5,$M$4,$M$5))))</f>
        <v/>
      </c>
      <c r="H64" s="30"/>
    </row>
    <row r="66" spans="1:8">
      <c r="A66" s="12">
        <v>6</v>
      </c>
      <c r="B66" s="31" t="s">
        <v>80</v>
      </c>
      <c r="C66" s="31"/>
      <c r="D66" s="31"/>
      <c r="E66" s="31"/>
      <c r="F66" s="31"/>
      <c r="G66" s="31"/>
      <c r="H66" s="32"/>
    </row>
    <row r="67" spans="1:8">
      <c r="A67" s="24" t="s">
        <v>26</v>
      </c>
      <c r="B67" s="23" t="s">
        <v>28</v>
      </c>
      <c r="C67" s="23" t="s">
        <v>81</v>
      </c>
      <c r="D67" s="23" t="s">
        <v>65</v>
      </c>
      <c r="E67" s="23" t="s">
        <v>68</v>
      </c>
      <c r="F67" s="23"/>
      <c r="G67" s="23"/>
      <c r="H67" s="13" t="s">
        <v>31</v>
      </c>
    </row>
    <row r="68" spans="1:8">
      <c r="A68" s="24" t="s">
        <v>24</v>
      </c>
      <c r="B68" s="14">
        <v>0.1754</v>
      </c>
      <c r="C68" s="14">
        <v>0.50829999999999997</v>
      </c>
      <c r="D68" s="14">
        <v>0.14480000000000001</v>
      </c>
      <c r="E68" s="14">
        <v>0.17150000000000001</v>
      </c>
      <c r="F68" s="14"/>
      <c r="G68" s="14"/>
      <c r="H68" s="29">
        <f>MIN(1,SUMPRODUCT(B68:G68,B69:G69)/100/SUM(B68:G68))</f>
        <v>0.71817500000000001</v>
      </c>
    </row>
    <row r="69" spans="1:8">
      <c r="A69" s="25" t="s">
        <v>25</v>
      </c>
      <c r="B69" s="15">
        <f>IF(B68="","",IF(B68&lt;$L$3,$M$2,IF(B68&lt;$L$4,$M$3,IF(B68&lt;$L$5,$M$4,$M$5))))</f>
        <v>70</v>
      </c>
      <c r="C69" s="15">
        <f t="shared" ref="C69" si="61">IF(C68="","",IF(C68&lt;$L$3,$M$2,IF(C68&lt;$L$4,$M$3,IF(C68&lt;$L$5,$M$4,$M$5))))</f>
        <v>75</v>
      </c>
      <c r="D69" s="15">
        <f t="shared" ref="D69" si="62">IF(D68="","",IF(D68&lt;$L$3,$M$2,IF(D68&lt;$L$4,$M$3,IF(D68&lt;$L$5,$M$4,$M$5))))</f>
        <v>65</v>
      </c>
      <c r="E69" s="15">
        <f t="shared" ref="E69" si="63">IF(E68="","",IF(E68&lt;$L$3,$M$2,IF(E68&lt;$L$4,$M$3,IF(E68&lt;$L$5,$M$4,$M$5))))</f>
        <v>70</v>
      </c>
      <c r="F69" s="15" t="str">
        <f t="shared" ref="F69" si="64">IF(F68="","",IF(F68&lt;$L$3,$M$2,IF(F68&lt;$L$4,$M$3,IF(F68&lt;$L$5,$M$4,$M$5))))</f>
        <v/>
      </c>
      <c r="G69" s="15" t="str">
        <f t="shared" ref="G69" si="65">IF(G68="","",IF(G68&lt;$L$3,$M$2,IF(G68&lt;$L$4,$M$3,IF(G68&lt;$L$5,$M$4,$M$5))))</f>
        <v/>
      </c>
      <c r="H69" s="30"/>
    </row>
    <row r="71" spans="1:8">
      <c r="A71" s="12">
        <v>7</v>
      </c>
      <c r="B71" s="31" t="s">
        <v>82</v>
      </c>
      <c r="C71" s="31"/>
      <c r="D71" s="31"/>
      <c r="E71" s="31"/>
      <c r="F71" s="31"/>
      <c r="G71" s="31"/>
      <c r="H71" s="32"/>
    </row>
    <row r="72" spans="1:8">
      <c r="A72" s="24" t="s">
        <v>26</v>
      </c>
      <c r="B72" s="23" t="s">
        <v>65</v>
      </c>
      <c r="C72" s="23" t="s">
        <v>83</v>
      </c>
      <c r="D72" s="23" t="s">
        <v>84</v>
      </c>
      <c r="E72" s="23" t="s">
        <v>61</v>
      </c>
      <c r="F72" s="23" t="s">
        <v>85</v>
      </c>
      <c r="G72" s="23" t="s">
        <v>41</v>
      </c>
      <c r="H72" s="13" t="s">
        <v>31</v>
      </c>
    </row>
    <row r="73" spans="1:8">
      <c r="A73" s="24" t="s">
        <v>24</v>
      </c>
      <c r="B73" s="14">
        <v>0.1206</v>
      </c>
      <c r="C73" s="14">
        <v>0.1085</v>
      </c>
      <c r="D73" s="14">
        <v>2.87E-2</v>
      </c>
      <c r="E73" s="14">
        <v>0.2402</v>
      </c>
      <c r="F73" s="14">
        <v>0.15620000000000001</v>
      </c>
      <c r="G73" s="14">
        <v>0.34589999999999999</v>
      </c>
      <c r="H73" s="29">
        <f>MIN(1,SUMPRODUCT(B73:G73,B74:G74)/100/SUM(B73:G73))</f>
        <v>0.69723027697230266</v>
      </c>
    </row>
    <row r="74" spans="1:8">
      <c r="A74" s="25" t="s">
        <v>25</v>
      </c>
      <c r="B74" s="15">
        <f>IF(B73="","",IF(B73&lt;$L$3,$M$2,IF(B73&lt;$L$4,$M$3,IF(B73&lt;$L$5,$M$4,$M$5))))</f>
        <v>65</v>
      </c>
      <c r="C74" s="15">
        <f t="shared" ref="C74" si="66">IF(C73="","",IF(C73&lt;$L$3,$M$2,IF(C73&lt;$L$4,$M$3,IF(C73&lt;$L$5,$M$4,$M$5))))</f>
        <v>65</v>
      </c>
      <c r="D74" s="15">
        <f t="shared" ref="D74" si="67">IF(D73="","",IF(D73&lt;$L$3,$M$2,IF(D73&lt;$L$4,$M$3,IF(D73&lt;$L$5,$M$4,$M$5))))</f>
        <v>40</v>
      </c>
      <c r="E74" s="15">
        <f t="shared" ref="E74" si="68">IF(E73="","",IF(E73&lt;$L$3,$M$2,IF(E73&lt;$L$4,$M$3,IF(E73&lt;$L$5,$M$4,$M$5))))</f>
        <v>70</v>
      </c>
      <c r="F74" s="15">
        <f t="shared" ref="F74" si="69">IF(F73="","",IF(F73&lt;$L$3,$M$2,IF(F73&lt;$L$4,$M$3,IF(F73&lt;$L$5,$M$4,$M$5))))</f>
        <v>70</v>
      </c>
      <c r="G74" s="15">
        <f t="shared" ref="G74" si="70">IF(G73="","",IF(G73&lt;$L$3,$M$2,IF(G73&lt;$L$4,$M$3,IF(G73&lt;$L$5,$M$4,$M$5))))</f>
        <v>75</v>
      </c>
      <c r="H74" s="30"/>
    </row>
    <row r="76" spans="1:8">
      <c r="A76" s="12">
        <v>7</v>
      </c>
      <c r="B76" s="31" t="s">
        <v>86</v>
      </c>
      <c r="C76" s="31"/>
      <c r="D76" s="31"/>
      <c r="E76" s="31"/>
      <c r="F76" s="31"/>
      <c r="G76" s="31"/>
      <c r="H76" s="32"/>
    </row>
    <row r="77" spans="1:8">
      <c r="A77" s="24" t="s">
        <v>26</v>
      </c>
      <c r="B77" s="23" t="s">
        <v>61</v>
      </c>
      <c r="C77" s="23" t="s">
        <v>47</v>
      </c>
      <c r="D77" s="23" t="s">
        <v>48</v>
      </c>
      <c r="E77" s="23" t="s">
        <v>52</v>
      </c>
      <c r="F77" s="23" t="s">
        <v>53</v>
      </c>
      <c r="G77" s="23"/>
      <c r="H77" s="13" t="s">
        <v>31</v>
      </c>
    </row>
    <row r="78" spans="1:8">
      <c r="A78" s="24" t="s">
        <v>24</v>
      </c>
      <c r="B78" s="14">
        <v>0.14549999999999999</v>
      </c>
      <c r="C78" s="14">
        <v>0.19539999999999999</v>
      </c>
      <c r="D78" s="14">
        <v>0.25800000000000001</v>
      </c>
      <c r="E78" s="14">
        <v>0.23089999999999999</v>
      </c>
      <c r="F78" s="14">
        <v>0.1701</v>
      </c>
      <c r="G78" s="14"/>
      <c r="H78" s="29">
        <f>MIN(1,SUMPRODUCT(B78:G78,B79:G79)/100/SUM(B78:G78))</f>
        <v>0.70562556255625553</v>
      </c>
    </row>
    <row r="79" spans="1:8">
      <c r="A79" s="25" t="s">
        <v>25</v>
      </c>
      <c r="B79" s="15">
        <f>IF(B78="","",IF(B78&lt;$L$3,$M$2,IF(B78&lt;$L$4,$M$3,IF(B78&lt;$L$5,$M$4,$M$5))))</f>
        <v>65</v>
      </c>
      <c r="C79" s="15">
        <f t="shared" ref="C79" si="71">IF(C78="","",IF(C78&lt;$L$3,$M$2,IF(C78&lt;$L$4,$M$3,IF(C78&lt;$L$5,$M$4,$M$5))))</f>
        <v>70</v>
      </c>
      <c r="D79" s="15">
        <f t="shared" ref="D79" si="72">IF(D78="","",IF(D78&lt;$L$3,$M$2,IF(D78&lt;$L$4,$M$3,IF(D78&lt;$L$5,$M$4,$M$5))))</f>
        <v>75</v>
      </c>
      <c r="E79" s="15">
        <f t="shared" ref="E79" si="73">IF(E78="","",IF(E78&lt;$L$3,$M$2,IF(E78&lt;$L$4,$M$3,IF(E78&lt;$L$5,$M$4,$M$5))))</f>
        <v>70</v>
      </c>
      <c r="F79" s="15">
        <f t="shared" ref="F79" si="74">IF(F78="","",IF(F78&lt;$L$3,$M$2,IF(F78&lt;$L$4,$M$3,IF(F78&lt;$L$5,$M$4,$M$5))))</f>
        <v>70</v>
      </c>
      <c r="G79" s="15" t="str">
        <f t="shared" ref="G79" si="75">IF(G78="","",IF(G78&lt;$L$3,$M$2,IF(G78&lt;$L$4,$M$3,IF(G78&lt;$L$5,$M$4,$M$5))))</f>
        <v/>
      </c>
      <c r="H79" s="30"/>
    </row>
    <row r="81" spans="1:8">
      <c r="A81" s="12">
        <v>8</v>
      </c>
      <c r="B81" s="31" t="s">
        <v>87</v>
      </c>
      <c r="C81" s="31"/>
      <c r="D81" s="31"/>
      <c r="E81" s="31"/>
      <c r="F81" s="31"/>
      <c r="G81" s="31"/>
      <c r="H81" s="32"/>
    </row>
    <row r="82" spans="1:8">
      <c r="A82" s="24" t="s">
        <v>26</v>
      </c>
      <c r="B82" s="23" t="s">
        <v>63</v>
      </c>
      <c r="C82" s="23" t="s">
        <v>52</v>
      </c>
      <c r="D82" s="23" t="s">
        <v>53</v>
      </c>
      <c r="E82" s="23" t="s">
        <v>58</v>
      </c>
      <c r="F82" s="23" t="s">
        <v>88</v>
      </c>
      <c r="G82" s="23" t="s">
        <v>89</v>
      </c>
      <c r="H82" s="13" t="s">
        <v>31</v>
      </c>
    </row>
    <row r="83" spans="1:8">
      <c r="A83" s="24" t="s">
        <v>24</v>
      </c>
      <c r="B83" s="14">
        <v>0.127</v>
      </c>
      <c r="C83" s="14">
        <v>0.13519999999999999</v>
      </c>
      <c r="D83" s="14">
        <v>0.10100000000000001</v>
      </c>
      <c r="E83" s="14">
        <v>0.3165</v>
      </c>
      <c r="F83" s="14">
        <v>2.93E-2</v>
      </c>
      <c r="G83" s="14">
        <v>0.29099999999999998</v>
      </c>
      <c r="H83" s="29">
        <f>MIN(1,SUMPRODUCT(B83:G83,B84:G84)/100/SUM(B83:G83))</f>
        <v>0.65489000000000008</v>
      </c>
    </row>
    <row r="84" spans="1:8">
      <c r="A84" s="25" t="s">
        <v>25</v>
      </c>
      <c r="B84" s="15">
        <f>IF(B83="","",IF(B83&lt;$L$3,$M$2,IF(B83&lt;$L$4,$M$3+$L$9,IF(B83&lt;$L$5,$M$4+$L$9,$M$5+$L$9))))</f>
        <v>60</v>
      </c>
      <c r="C84" s="15">
        <f t="shared" ref="C84:G84" si="76">IF(C83="","",IF(C83&lt;$L$3,$M$2,IF(C83&lt;$L$4,$M$3+$L$9,IF(C83&lt;$L$5,$M$4+$L$9,$M$5+$L$9))))</f>
        <v>60</v>
      </c>
      <c r="D84" s="15">
        <f t="shared" si="76"/>
        <v>60</v>
      </c>
      <c r="E84" s="15">
        <f t="shared" si="76"/>
        <v>70</v>
      </c>
      <c r="F84" s="15">
        <f t="shared" si="76"/>
        <v>40</v>
      </c>
      <c r="G84" s="15">
        <f t="shared" si="76"/>
        <v>70</v>
      </c>
      <c r="H84" s="30"/>
    </row>
    <row r="86" spans="1:8">
      <c r="A86" s="12">
        <v>8</v>
      </c>
      <c r="B86" s="31" t="s">
        <v>90</v>
      </c>
      <c r="C86" s="31"/>
      <c r="D86" s="31"/>
      <c r="E86" s="31"/>
      <c r="F86" s="31"/>
      <c r="G86" s="31"/>
      <c r="H86" s="32"/>
    </row>
    <row r="87" spans="1:8">
      <c r="A87" s="24" t="s">
        <v>26</v>
      </c>
      <c r="B87" s="23" t="s">
        <v>77</v>
      </c>
      <c r="C87" s="23" t="s">
        <v>91</v>
      </c>
      <c r="D87" s="23" t="s">
        <v>92</v>
      </c>
      <c r="E87" s="23" t="s">
        <v>28</v>
      </c>
      <c r="F87" s="23"/>
      <c r="G87" s="23"/>
      <c r="H87" s="13" t="s">
        <v>31</v>
      </c>
    </row>
    <row r="88" spans="1:8">
      <c r="A88" s="24" t="s">
        <v>24</v>
      </c>
      <c r="B88" s="14">
        <v>0.16059999999999999</v>
      </c>
      <c r="C88" s="14">
        <v>0.18940000000000001</v>
      </c>
      <c r="D88" s="14">
        <v>0.21690000000000001</v>
      </c>
      <c r="E88" s="14">
        <v>0.43319999999999997</v>
      </c>
      <c r="F88" s="14"/>
      <c r="G88" s="14"/>
      <c r="H88" s="29">
        <f>MIN(1,SUMPRODUCT(B88:G88,B89:G89)/100/SUM(B88:G88))</f>
        <v>0.67165783421657832</v>
      </c>
    </row>
    <row r="89" spans="1:8">
      <c r="A89" s="25" t="s">
        <v>25</v>
      </c>
      <c r="B89" s="15">
        <f>IF(B88="","",IF(B88&lt;$L$3,$M$2,IF(B88&lt;$L$4,$M$3+$L$9,IF(B88&lt;$L$5,$M$4+$L$9,$M$5+$L$9))))</f>
        <v>65</v>
      </c>
      <c r="C89" s="15">
        <f t="shared" ref="C89" si="77">IF(C88="","",IF(C88&lt;$L$3,$M$2,IF(C88&lt;$L$4,$M$3+$L$9,IF(C88&lt;$L$5,$M$4+$L$9,$M$5+$L$9))))</f>
        <v>65</v>
      </c>
      <c r="D89" s="15">
        <f t="shared" ref="D89" si="78">IF(D88="","",IF(D88&lt;$L$3,$M$2,IF(D88&lt;$L$4,$M$3+$L$9,IF(D88&lt;$L$5,$M$4+$L$9,$M$5+$L$9))))</f>
        <v>65</v>
      </c>
      <c r="E89" s="15">
        <f t="shared" ref="E89" si="79">IF(E88="","",IF(E88&lt;$L$3,$M$2,IF(E88&lt;$L$4,$M$3+$L$9,IF(E88&lt;$L$5,$M$4+$L$9,$M$5+$L$9))))</f>
        <v>70</v>
      </c>
      <c r="F89" s="15" t="str">
        <f t="shared" ref="F89" si="80">IF(F88="","",IF(F88&lt;$L$3,$M$2,IF(F88&lt;$L$4,$M$3+$L$9,IF(F88&lt;$L$5,$M$4+$L$9,$M$5+$L$9))))</f>
        <v/>
      </c>
      <c r="G89" s="15" t="str">
        <f t="shared" ref="G89" si="81">IF(G88="","",IF(G88&lt;$L$3,$M$2,IF(G88&lt;$L$4,$M$3+$L$9,IF(G88&lt;$L$5,$M$4+$L$9,$M$5+$L$9))))</f>
        <v/>
      </c>
      <c r="H89" s="30"/>
    </row>
    <row r="91" spans="1:8">
      <c r="A91" s="12">
        <v>8</v>
      </c>
      <c r="B91" s="31" t="s">
        <v>93</v>
      </c>
      <c r="C91" s="31"/>
      <c r="D91" s="31"/>
      <c r="E91" s="31"/>
      <c r="F91" s="31"/>
      <c r="G91" s="31"/>
      <c r="H91" s="32"/>
    </row>
    <row r="92" spans="1:8">
      <c r="A92" s="24" t="s">
        <v>26</v>
      </c>
      <c r="B92" s="23" t="s">
        <v>91</v>
      </c>
      <c r="C92" s="23" t="s">
        <v>74</v>
      </c>
      <c r="D92" s="23" t="s">
        <v>65</v>
      </c>
      <c r="E92" s="23" t="s">
        <v>28</v>
      </c>
      <c r="F92" s="23"/>
      <c r="G92" s="23"/>
      <c r="H92" s="13" t="s">
        <v>31</v>
      </c>
    </row>
    <row r="93" spans="1:8">
      <c r="A93" s="24" t="s">
        <v>24</v>
      </c>
      <c r="B93" s="14">
        <v>0.23430000000000001</v>
      </c>
      <c r="C93" s="14">
        <v>2.9600000000000001E-2</v>
      </c>
      <c r="D93" s="14">
        <v>0.25440000000000002</v>
      </c>
      <c r="E93" s="14">
        <v>0.48170000000000002</v>
      </c>
      <c r="F93" s="14"/>
      <c r="G93" s="14"/>
      <c r="H93" s="29">
        <f>MIN(1,SUMPRODUCT(B93:G93,B94:G94)/100/SUM(B93:G93))</f>
        <v>0.67940500000000004</v>
      </c>
    </row>
    <row r="94" spans="1:8">
      <c r="A94" s="25" t="s">
        <v>25</v>
      </c>
      <c r="B94" s="15">
        <f>IF(B93="","",IF(B93&lt;$L$3,$M$2,IF(B93&lt;$L$4,$M$3+$L$9,IF(B93&lt;$L$5,$M$4+$L$9,$M$5+$L$9))))</f>
        <v>65</v>
      </c>
      <c r="C94" s="15">
        <f t="shared" ref="C94" si="82">IF(C93="","",IF(C93&lt;$L$3,$M$2,IF(C93&lt;$L$4,$M$3+$L$9,IF(C93&lt;$L$5,$M$4+$L$9,$M$5+$L$9))))</f>
        <v>40</v>
      </c>
      <c r="D94" s="15">
        <f t="shared" ref="D94" si="83">IF(D93="","",IF(D93&lt;$L$3,$M$2,IF(D93&lt;$L$4,$M$3+$L$9,IF(D93&lt;$L$5,$M$4+$L$9,$M$5+$L$9))))</f>
        <v>70</v>
      </c>
      <c r="E94" s="15">
        <f t="shared" ref="E94" si="84">IF(E93="","",IF(E93&lt;$L$3,$M$2,IF(E93&lt;$L$4,$M$3+$L$9,IF(E93&lt;$L$5,$M$4+$L$9,$M$5+$L$9))))</f>
        <v>70</v>
      </c>
      <c r="F94" s="15" t="str">
        <f t="shared" ref="F94" si="85">IF(F93="","",IF(F93&lt;$L$3,$M$2,IF(F93&lt;$L$4,$M$3+$L$9,IF(F93&lt;$L$5,$M$4+$L$9,$M$5+$L$9))))</f>
        <v/>
      </c>
      <c r="G94" s="15" t="str">
        <f t="shared" ref="G94" si="86">IF(G93="","",IF(G93&lt;$L$3,$M$2,IF(G93&lt;$L$4,$M$3+$L$9,IF(G93&lt;$L$5,$M$4+$L$9,$M$5+$L$9))))</f>
        <v/>
      </c>
      <c r="H94" s="30"/>
    </row>
    <row r="96" spans="1:8">
      <c r="A96" s="12">
        <v>8</v>
      </c>
      <c r="B96" s="31" t="s">
        <v>94</v>
      </c>
      <c r="C96" s="31"/>
      <c r="D96" s="31"/>
      <c r="E96" s="31"/>
      <c r="F96" s="31"/>
      <c r="G96" s="31"/>
      <c r="H96" s="32"/>
    </row>
    <row r="97" spans="1:8">
      <c r="A97" s="24" t="s">
        <v>26</v>
      </c>
      <c r="B97" s="23" t="s">
        <v>77</v>
      </c>
      <c r="C97" s="23" t="s">
        <v>95</v>
      </c>
      <c r="D97" s="23" t="s">
        <v>65</v>
      </c>
      <c r="E97" s="23" t="s">
        <v>52</v>
      </c>
      <c r="F97" s="23" t="s">
        <v>53</v>
      </c>
      <c r="G97" s="23"/>
      <c r="H97" s="13" t="s">
        <v>31</v>
      </c>
    </row>
    <row r="98" spans="1:8">
      <c r="A98" s="24" t="s">
        <v>24</v>
      </c>
      <c r="B98" s="14">
        <v>0.38590000000000002</v>
      </c>
      <c r="C98" s="14">
        <v>0.2495</v>
      </c>
      <c r="D98" s="14">
        <v>0.1535</v>
      </c>
      <c r="E98" s="14">
        <v>0.1056</v>
      </c>
      <c r="F98" s="14">
        <v>0.1056</v>
      </c>
      <c r="G98" s="14"/>
      <c r="H98" s="29">
        <f>MIN(1,SUMPRODUCT(B98:G98,B99:G99)/100/SUM(B98:G98))</f>
        <v>0.65873412658734132</v>
      </c>
    </row>
    <row r="99" spans="1:8">
      <c r="A99" s="25" t="s">
        <v>25</v>
      </c>
      <c r="B99" s="15">
        <f>IF(B98="","",IF(B98&lt;$L$3,$M$2,IF(B98&lt;$L$4,$M$3+$L$9,IF(B98&lt;$L$5,$M$4+$L$9,$M$5+$L$9))))</f>
        <v>70</v>
      </c>
      <c r="C99" s="15">
        <f t="shared" ref="C99" si="87">IF(C98="","",IF(C98&lt;$L$3,$M$2,IF(C98&lt;$L$4,$M$3+$L$9,IF(C98&lt;$L$5,$M$4+$L$9,$M$5+$L$9))))</f>
        <v>65</v>
      </c>
      <c r="D99" s="15">
        <f t="shared" ref="D99" si="88">IF(D98="","",IF(D98&lt;$L$3,$M$2,IF(D98&lt;$L$4,$M$3+$L$9,IF(D98&lt;$L$5,$M$4+$L$9,$M$5+$L$9))))</f>
        <v>65</v>
      </c>
      <c r="E99" s="15">
        <f t="shared" ref="E99" si="89">IF(E98="","",IF(E98&lt;$L$3,$M$2,IF(E98&lt;$L$4,$M$3+$L$9,IF(E98&lt;$L$5,$M$4+$L$9,$M$5+$L$9))))</f>
        <v>60</v>
      </c>
      <c r="F99" s="15">
        <f t="shared" ref="F99" si="90">IF(F98="","",IF(F98&lt;$L$3,$M$2,IF(F98&lt;$L$4,$M$3+$L$9,IF(F98&lt;$L$5,$M$4+$L$9,$M$5+$L$9))))</f>
        <v>60</v>
      </c>
      <c r="G99" s="15" t="str">
        <f t="shared" ref="G99" si="91">IF(G98="","",IF(G98&lt;$L$3,$M$2,IF(G98&lt;$L$4,$M$3+$L$9,IF(G98&lt;$L$5,$M$4+$L$9,$M$5+$L$9))))</f>
        <v/>
      </c>
      <c r="H99" s="30"/>
    </row>
    <row r="101" spans="1:8">
      <c r="A101" s="12">
        <v>8</v>
      </c>
      <c r="B101" s="31" t="s">
        <v>96</v>
      </c>
      <c r="C101" s="31"/>
      <c r="D101" s="31"/>
      <c r="E101" s="31"/>
      <c r="F101" s="31"/>
      <c r="G101" s="31"/>
      <c r="H101" s="32"/>
    </row>
    <row r="102" spans="1:8">
      <c r="A102" s="24" t="s">
        <v>26</v>
      </c>
      <c r="B102" s="23" t="s">
        <v>65</v>
      </c>
      <c r="C102" s="23" t="s">
        <v>97</v>
      </c>
      <c r="D102" s="23" t="s">
        <v>98</v>
      </c>
      <c r="E102" s="23" t="s">
        <v>91</v>
      </c>
      <c r="F102" s="23"/>
      <c r="G102" s="23"/>
      <c r="H102" s="13" t="s">
        <v>31</v>
      </c>
    </row>
    <row r="103" spans="1:8">
      <c r="A103" s="24" t="s">
        <v>24</v>
      </c>
      <c r="B103" s="14">
        <v>0.16320000000000001</v>
      </c>
      <c r="C103" s="14">
        <v>0.2349</v>
      </c>
      <c r="D103" s="14">
        <v>0.4627</v>
      </c>
      <c r="E103" s="14">
        <v>0.1391</v>
      </c>
      <c r="F103" s="14"/>
      <c r="G103" s="14"/>
      <c r="H103" s="29">
        <f>MIN(1,SUMPRODUCT(B103:G103,B104:G104)/100/SUM(B103:G103))</f>
        <v>0.6661816181618162</v>
      </c>
    </row>
    <row r="104" spans="1:8">
      <c r="A104" s="25" t="s">
        <v>25</v>
      </c>
      <c r="B104" s="15">
        <f>IF(B103="","",IF(B103&lt;$L$3,$M$2,IF(B103&lt;$L$4,$M$3+$L$9,IF(B103&lt;$L$5,$M$4+$L$9,$M$5+$L$9))))</f>
        <v>65</v>
      </c>
      <c r="C104" s="15">
        <f t="shared" ref="C104" si="92">IF(C103="","",IF(C103&lt;$L$3,$M$2,IF(C103&lt;$L$4,$M$3+$L$9,IF(C103&lt;$L$5,$M$4+$L$9,$M$5+$L$9))))</f>
        <v>65</v>
      </c>
      <c r="D104" s="15">
        <f t="shared" ref="D104" si="93">IF(D103="","",IF(D103&lt;$L$3,$M$2,IF(D103&lt;$L$4,$M$3+$L$9,IF(D103&lt;$L$5,$M$4+$L$9,$M$5+$L$9))))</f>
        <v>70</v>
      </c>
      <c r="E104" s="15">
        <f t="shared" ref="E104" si="94">IF(E103="","",IF(E103&lt;$L$3,$M$2,IF(E103&lt;$L$4,$M$3+$L$9,IF(E103&lt;$L$5,$M$4+$L$9,$M$5+$L$9))))</f>
        <v>60</v>
      </c>
      <c r="F104" s="15" t="str">
        <f t="shared" ref="F104" si="95">IF(F103="","",IF(F103&lt;$L$3,$M$2,IF(F103&lt;$L$4,$M$3+$L$9,IF(F103&lt;$L$5,$M$4+$L$9,$M$5+$L$9))))</f>
        <v/>
      </c>
      <c r="G104" s="15" t="str">
        <f t="shared" ref="G104" si="96">IF(G103="","",IF(G103&lt;$L$3,$M$2,IF(G103&lt;$L$4,$M$3+$L$9,IF(G103&lt;$L$5,$M$4+$L$9,$M$5+$L$9))))</f>
        <v/>
      </c>
      <c r="H104" s="30"/>
    </row>
    <row r="106" spans="1:8">
      <c r="A106" s="12">
        <v>9</v>
      </c>
      <c r="B106" s="31" t="s">
        <v>99</v>
      </c>
      <c r="C106" s="31"/>
      <c r="D106" s="31"/>
      <c r="E106" s="31"/>
      <c r="F106" s="31"/>
      <c r="G106" s="31"/>
      <c r="H106" s="32"/>
    </row>
    <row r="107" spans="1:8">
      <c r="A107" s="24" t="s">
        <v>26</v>
      </c>
      <c r="B107" s="23" t="s">
        <v>28</v>
      </c>
      <c r="C107" s="23" t="s">
        <v>52</v>
      </c>
      <c r="D107" s="23" t="s">
        <v>53</v>
      </c>
      <c r="E107" s="23" t="s">
        <v>65</v>
      </c>
      <c r="F107" s="23" t="s">
        <v>74</v>
      </c>
      <c r="G107" s="23"/>
      <c r="H107" s="13" t="s">
        <v>31</v>
      </c>
    </row>
    <row r="108" spans="1:8">
      <c r="A108" s="24" t="s">
        <v>24</v>
      </c>
      <c r="B108" s="14">
        <v>0.21079999999999999</v>
      </c>
      <c r="C108" s="14">
        <v>0.183</v>
      </c>
      <c r="D108" s="14">
        <v>0.2465</v>
      </c>
      <c r="E108" s="14">
        <v>0.28339999999999999</v>
      </c>
      <c r="F108" s="14">
        <v>7.6300000000000007E-2</v>
      </c>
      <c r="G108" s="14"/>
      <c r="H108" s="29">
        <f>MIN(1,SUMPRODUCT(B108:G108,B109:G109)/100/SUM(B108:G108))</f>
        <v>0.66035500000000003</v>
      </c>
    </row>
    <row r="109" spans="1:8">
      <c r="A109" s="25" t="s">
        <v>25</v>
      </c>
      <c r="B109" s="15">
        <f>IF(B108="","",IF(B108&lt;$L$3,$M$2,IF(B108&lt;$L$4,$M$3+$L$10,IF(B108&lt;$L$5,$M$4+$L$10,$M$5+$L$10))))</f>
        <v>65</v>
      </c>
      <c r="C109" s="15">
        <f t="shared" ref="C109:G109" si="97">IF(C108="","",IF(C108&lt;$L$3,$M$2,IF(C108&lt;$L$4,$M$3+$L$10,IF(C108&lt;$L$5,$M$4+$L$10,$M$5+$L$10))))</f>
        <v>65</v>
      </c>
      <c r="D109" s="15">
        <f t="shared" si="97"/>
        <v>65</v>
      </c>
      <c r="E109" s="15">
        <f t="shared" si="97"/>
        <v>70</v>
      </c>
      <c r="F109" s="15">
        <f t="shared" si="97"/>
        <v>60</v>
      </c>
      <c r="G109" s="15" t="str">
        <f t="shared" si="97"/>
        <v/>
      </c>
      <c r="H109" s="30"/>
    </row>
    <row r="111" spans="1:8">
      <c r="A111" s="12">
        <v>9</v>
      </c>
      <c r="B111" s="31" t="s">
        <v>100</v>
      </c>
      <c r="C111" s="31"/>
      <c r="D111" s="31"/>
      <c r="E111" s="31"/>
      <c r="F111" s="31"/>
      <c r="G111" s="31"/>
      <c r="H111" s="32"/>
    </row>
    <row r="112" spans="1:8">
      <c r="A112" s="24" t="s">
        <v>26</v>
      </c>
      <c r="B112" s="23" t="s">
        <v>101</v>
      </c>
      <c r="C112" s="23" t="s">
        <v>61</v>
      </c>
      <c r="D112" s="23" t="s">
        <v>81</v>
      </c>
      <c r="E112" s="23" t="s">
        <v>28</v>
      </c>
      <c r="F112" s="23" t="s">
        <v>85</v>
      </c>
      <c r="G112" s="23"/>
      <c r="H112" s="13" t="s">
        <v>31</v>
      </c>
    </row>
    <row r="113" spans="1:8">
      <c r="A113" s="24" t="s">
        <v>24</v>
      </c>
      <c r="B113" s="14">
        <v>0.24940000000000001</v>
      </c>
      <c r="C113" s="14">
        <v>0.15570000000000001</v>
      </c>
      <c r="D113" s="14">
        <v>0.1653</v>
      </c>
      <c r="E113" s="14">
        <v>0.26939999999999997</v>
      </c>
      <c r="F113" s="14">
        <v>0.1802</v>
      </c>
      <c r="G113" s="14"/>
      <c r="H113" s="29">
        <f>MIN(1,SUMPRODUCT(B113:G113,B114:G114)/100/SUM(B113:G113))</f>
        <v>0.66320588235294109</v>
      </c>
    </row>
    <row r="114" spans="1:8">
      <c r="A114" s="25" t="s">
        <v>25</v>
      </c>
      <c r="B114" s="15">
        <f>IF(B113="","",IF(B113&lt;$L$3,$M$2,IF(B113&lt;$L$4,$M$3+$L$10,IF(B113&lt;$L$5,$M$4+$L$10,$M$5+$L$10))))</f>
        <v>65</v>
      </c>
      <c r="C114" s="15">
        <f t="shared" ref="C114" si="98">IF(C113="","",IF(C113&lt;$L$3,$M$2,IF(C113&lt;$L$4,$M$3+$L$10,IF(C113&lt;$L$5,$M$4+$L$10,$M$5+$L$10))))</f>
        <v>65</v>
      </c>
      <c r="D114" s="15">
        <f t="shared" ref="D114" si="99">IF(D113="","",IF(D113&lt;$L$3,$M$2,IF(D113&lt;$L$4,$M$3+$L$10,IF(D113&lt;$L$5,$M$4+$L$10,$M$5+$L$10))))</f>
        <v>65</v>
      </c>
      <c r="E114" s="15">
        <f t="shared" ref="E114" si="100">IF(E113="","",IF(E113&lt;$L$3,$M$2,IF(E113&lt;$L$4,$M$3+$L$10,IF(E113&lt;$L$5,$M$4+$L$10,$M$5+$L$10))))</f>
        <v>70</v>
      </c>
      <c r="F114" s="15">
        <f t="shared" ref="F114" si="101">IF(F113="","",IF(F113&lt;$L$3,$M$2,IF(F113&lt;$L$4,$M$3+$L$10,IF(F113&lt;$L$5,$M$4+$L$10,$M$5+$L$10))))</f>
        <v>65</v>
      </c>
      <c r="G114" s="15" t="str">
        <f t="shared" ref="G114" si="102">IF(G113="","",IF(G113&lt;$L$3,$M$2,IF(G113&lt;$L$4,$M$3+$L$10,IF(G113&lt;$L$5,$M$4+$L$10,$M$5+$L$10))))</f>
        <v/>
      </c>
      <c r="H114" s="30"/>
    </row>
    <row r="116" spans="1:8">
      <c r="A116" s="12">
        <v>9</v>
      </c>
      <c r="B116" s="31" t="s">
        <v>102</v>
      </c>
      <c r="C116" s="31"/>
      <c r="D116" s="31"/>
      <c r="E116" s="31"/>
      <c r="F116" s="31"/>
      <c r="G116" s="31"/>
      <c r="H116" s="32"/>
    </row>
    <row r="117" spans="1:8">
      <c r="A117" s="24" t="s">
        <v>26</v>
      </c>
      <c r="B117" s="23" t="s">
        <v>65</v>
      </c>
      <c r="C117" s="23" t="s">
        <v>61</v>
      </c>
      <c r="D117" s="23" t="s">
        <v>91</v>
      </c>
      <c r="E117" s="23" t="s">
        <v>103</v>
      </c>
      <c r="F117" s="23" t="s">
        <v>38</v>
      </c>
      <c r="G117" s="23" t="s">
        <v>41</v>
      </c>
      <c r="H117" s="13" t="s">
        <v>31</v>
      </c>
    </row>
    <row r="118" spans="1:8">
      <c r="A118" s="24" t="s">
        <v>24</v>
      </c>
      <c r="B118" s="14">
        <v>0.1026</v>
      </c>
      <c r="C118" s="14">
        <v>0.20019999999999999</v>
      </c>
      <c r="D118" s="14">
        <v>0.17030000000000001</v>
      </c>
      <c r="E118" s="14">
        <v>0.12770000000000001</v>
      </c>
      <c r="F118" s="14">
        <v>0.25290000000000001</v>
      </c>
      <c r="G118" s="14">
        <v>0.14630000000000001</v>
      </c>
      <c r="H118" s="29">
        <f>MIN(1,SUMPRODUCT(B118:G118,B119:G119)/100/SUM(B118:G118))</f>
        <v>0.64381500000000003</v>
      </c>
    </row>
    <row r="119" spans="1:8">
      <c r="A119" s="25" t="s">
        <v>25</v>
      </c>
      <c r="B119" s="15">
        <f>IF(B118="","",IF(B118&lt;$L$3,$M$2,IF(B118&lt;$L$4,$M$3+$L$10,IF(B118&lt;$L$5,$M$4+$L$10,$M$5+$L$10))))</f>
        <v>60</v>
      </c>
      <c r="C119" s="15">
        <f t="shared" ref="C119" si="103">IF(C118="","",IF(C118&lt;$L$3,$M$2,IF(C118&lt;$L$4,$M$3+$L$10,IF(C118&lt;$L$5,$M$4+$L$10,$M$5+$L$10))))</f>
        <v>65</v>
      </c>
      <c r="D119" s="15">
        <f t="shared" ref="D119" si="104">IF(D118="","",IF(D118&lt;$L$3,$M$2,IF(D118&lt;$L$4,$M$3+$L$10,IF(D118&lt;$L$5,$M$4+$L$10,$M$5+$L$10))))</f>
        <v>65</v>
      </c>
      <c r="E119" s="15">
        <f t="shared" ref="E119" si="105">IF(E118="","",IF(E118&lt;$L$3,$M$2,IF(E118&lt;$L$4,$M$3+$L$10,IF(E118&lt;$L$5,$M$4+$L$10,$M$5+$L$10))))</f>
        <v>60</v>
      </c>
      <c r="F119" s="15">
        <f t="shared" ref="F119" si="106">IF(F118="","",IF(F118&lt;$L$3,$M$2,IF(F118&lt;$L$4,$M$3+$L$10,IF(F118&lt;$L$5,$M$4+$L$10,$M$5+$L$10))))</f>
        <v>70</v>
      </c>
      <c r="G119" s="15">
        <f t="shared" ref="G119" si="107">IF(G118="","",IF(G118&lt;$L$3,$M$2,IF(G118&lt;$L$4,$M$3+$L$10,IF(G118&lt;$L$5,$M$4+$L$10,$M$5+$L$10))))</f>
        <v>60</v>
      </c>
      <c r="H119" s="30"/>
    </row>
    <row r="121" spans="1:8">
      <c r="A121" s="12">
        <v>10</v>
      </c>
      <c r="B121" s="31" t="s">
        <v>104</v>
      </c>
      <c r="C121" s="31"/>
      <c r="D121" s="31"/>
      <c r="E121" s="31"/>
      <c r="F121" s="31"/>
      <c r="G121" s="31"/>
      <c r="H121" s="32"/>
    </row>
    <row r="122" spans="1:8">
      <c r="A122" s="24" t="s">
        <v>26</v>
      </c>
      <c r="B122" s="23" t="s">
        <v>59</v>
      </c>
      <c r="C122" s="23" t="s">
        <v>39</v>
      </c>
      <c r="D122" s="23" t="s">
        <v>61</v>
      </c>
      <c r="E122" s="23" t="s">
        <v>85</v>
      </c>
      <c r="F122" s="23" t="s">
        <v>52</v>
      </c>
      <c r="G122" s="23" t="s">
        <v>53</v>
      </c>
      <c r="H122" s="13" t="s">
        <v>31</v>
      </c>
    </row>
    <row r="123" spans="1:8">
      <c r="A123" s="24" t="s">
        <v>24</v>
      </c>
      <c r="B123" s="14">
        <v>0.40739999999999998</v>
      </c>
      <c r="C123" s="14">
        <v>0.16619999999999999</v>
      </c>
      <c r="D123" s="14">
        <v>8.2900000000000001E-2</v>
      </c>
      <c r="E123" s="14">
        <v>0.15890000000000001</v>
      </c>
      <c r="F123" s="14">
        <v>0.10680000000000001</v>
      </c>
      <c r="G123" s="14">
        <v>7.7799999999999994E-2</v>
      </c>
      <c r="H123" s="29">
        <f>MIN(1,SUMPRODUCT(B123:G123,B124:G124)/100/SUM(B123:G123))</f>
        <v>0.55699500000000002</v>
      </c>
    </row>
    <row r="124" spans="1:8">
      <c r="A124" s="25" t="s">
        <v>25</v>
      </c>
      <c r="B124" s="15">
        <f>IF(B123="","",IF(B123&lt;$L$3,$M$2,IF(B123&lt;$L$4,$M$3+$L$11,IF(B123&lt;$L$5,$M$4+$L$11,$M$5+$L$11))))</f>
        <v>60</v>
      </c>
      <c r="C124" s="15">
        <f t="shared" ref="C124:G124" si="108">IF(C123="","",IF(C123&lt;$L$3,$M$2,IF(C123&lt;$L$4,$M$3+$L$11,IF(C123&lt;$L$5,$M$4+$L$11,$M$5+$L$11))))</f>
        <v>55</v>
      </c>
      <c r="D124" s="15">
        <f t="shared" si="108"/>
        <v>50</v>
      </c>
      <c r="E124" s="15">
        <f t="shared" si="108"/>
        <v>55</v>
      </c>
      <c r="F124" s="15">
        <f t="shared" si="108"/>
        <v>50</v>
      </c>
      <c r="G124" s="15">
        <f t="shared" si="108"/>
        <v>50</v>
      </c>
      <c r="H124" s="30"/>
    </row>
  </sheetData>
  <mergeCells count="51">
    <mergeCell ref="H123:H124"/>
    <mergeCell ref="B96:H96"/>
    <mergeCell ref="H98:H99"/>
    <mergeCell ref="B101:H101"/>
    <mergeCell ref="H103:H104"/>
    <mergeCell ref="B106:H106"/>
    <mergeCell ref="H108:H109"/>
    <mergeCell ref="B111:H111"/>
    <mergeCell ref="H113:H114"/>
    <mergeCell ref="B116:H116"/>
    <mergeCell ref="H118:H119"/>
    <mergeCell ref="B121:H121"/>
    <mergeCell ref="H93:H94"/>
    <mergeCell ref="B66:H66"/>
    <mergeCell ref="H68:H69"/>
    <mergeCell ref="B71:H71"/>
    <mergeCell ref="H73:H74"/>
    <mergeCell ref="B76:H76"/>
    <mergeCell ref="H78:H79"/>
    <mergeCell ref="B81:H81"/>
    <mergeCell ref="H83:H84"/>
    <mergeCell ref="B86:H86"/>
    <mergeCell ref="H88:H89"/>
    <mergeCell ref="B91:H91"/>
    <mergeCell ref="H63:H64"/>
    <mergeCell ref="B36:H36"/>
    <mergeCell ref="H38:H39"/>
    <mergeCell ref="B41:H41"/>
    <mergeCell ref="H43:H44"/>
    <mergeCell ref="B46:H46"/>
    <mergeCell ref="H48:H49"/>
    <mergeCell ref="B51:H51"/>
    <mergeCell ref="H53:H54"/>
    <mergeCell ref="B56:H56"/>
    <mergeCell ref="H58:H59"/>
    <mergeCell ref="B61:H61"/>
    <mergeCell ref="K8:L8"/>
    <mergeCell ref="H33:H34"/>
    <mergeCell ref="H13:H14"/>
    <mergeCell ref="B1:H1"/>
    <mergeCell ref="B6:H6"/>
    <mergeCell ref="B11:H11"/>
    <mergeCell ref="B16:H16"/>
    <mergeCell ref="H18:H19"/>
    <mergeCell ref="H3:H4"/>
    <mergeCell ref="H8:H9"/>
    <mergeCell ref="B21:H21"/>
    <mergeCell ref="H23:H24"/>
    <mergeCell ref="B26:H26"/>
    <mergeCell ref="H28:H29"/>
    <mergeCell ref="B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Drewery</dc:creator>
  <cp:keywords/>
  <dc:description/>
  <cp:lastModifiedBy/>
  <cp:revision/>
  <dcterms:created xsi:type="dcterms:W3CDTF">2026-04-16T19:33:22Z</dcterms:created>
  <dcterms:modified xsi:type="dcterms:W3CDTF">2026-08-23T03:14:06Z</dcterms:modified>
  <cp:category/>
  <cp:contentStatus/>
</cp:coreProperties>
</file>